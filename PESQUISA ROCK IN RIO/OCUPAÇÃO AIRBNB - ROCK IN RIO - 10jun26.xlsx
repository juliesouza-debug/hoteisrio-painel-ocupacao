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teisrio01.sharepoint.com/sites/HOTEISRIO2026/Documentos Compartilhados/ESTATÍSTICA/PESQUISA AIRDNA/PESQUISA ROCK IN RIO/"/>
    </mc:Choice>
  </mc:AlternateContent>
  <xr:revisionPtr revIDLastSave="1022" documentId="8_{C7F06AE2-637E-4632-AA25-6083AA34F035}" xr6:coauthVersionLast="47" xr6:coauthVersionMax="47" xr10:uidLastSave="{3B0D6BD5-1F10-431A-AAD0-80B5F3821BB0}"/>
  <bookViews>
    <workbookView xWindow="-120" yWindow="-120" windowWidth="29040" windowHeight="15720" activeTab="1" xr2:uid="{2EC19CA2-E745-46A0-B76F-BEAC4154EAC9}"/>
  </bookViews>
  <sheets>
    <sheet name="OCUPAÇÃO 2024" sheetId="1" r:id="rId1"/>
    <sheet name="OCUPAÇÃO 2026" sheetId="3" r:id="rId2"/>
    <sheet name="DIÁRIA MÉDIA 2024" sheetId="2" r:id="rId3"/>
    <sheet name="DIÁRIA MÉDIA 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8" i="1"/>
  <c r="S28" i="1"/>
  <c r="G28" i="3"/>
  <c r="I28" i="3"/>
  <c r="K28" i="3"/>
  <c r="M28" i="3"/>
  <c r="O28" i="3"/>
  <c r="Q28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S16" i="3" s="1"/>
  <c r="E17" i="3"/>
  <c r="E18" i="3"/>
  <c r="E19" i="3"/>
  <c r="E20" i="3"/>
  <c r="E21" i="3"/>
  <c r="E22" i="3"/>
  <c r="E23" i="3"/>
  <c r="E24" i="3"/>
  <c r="E25" i="3"/>
  <c r="E26" i="3"/>
  <c r="E27" i="3"/>
  <c r="E3" i="3"/>
  <c r="P28" i="3"/>
  <c r="J24" i="2"/>
  <c r="J25" i="2"/>
  <c r="K30" i="4" a="1"/>
  <c r="K30" i="4" s="1"/>
  <c r="J25" i="4"/>
  <c r="J23" i="4"/>
  <c r="J5" i="4"/>
  <c r="J16" i="4"/>
  <c r="G25" i="3"/>
  <c r="I25" i="3"/>
  <c r="K25" i="3"/>
  <c r="M25" i="3"/>
  <c r="O25" i="3"/>
  <c r="Q25" i="3"/>
  <c r="G16" i="3"/>
  <c r="I16" i="3"/>
  <c r="K16" i="3"/>
  <c r="M16" i="3"/>
  <c r="O16" i="3"/>
  <c r="Q16" i="3"/>
  <c r="G23" i="3"/>
  <c r="I23" i="3"/>
  <c r="K23" i="3"/>
  <c r="M23" i="3"/>
  <c r="O23" i="3"/>
  <c r="Q23" i="3"/>
  <c r="G27" i="3"/>
  <c r="I27" i="3"/>
  <c r="K27" i="3"/>
  <c r="M27" i="3"/>
  <c r="O27" i="3"/>
  <c r="Q27" i="3"/>
  <c r="H28" i="4"/>
  <c r="G28" i="4"/>
  <c r="F28" i="4"/>
  <c r="E28" i="4"/>
  <c r="D28" i="4"/>
  <c r="C28" i="4"/>
  <c r="B28" i="4"/>
  <c r="J27" i="4"/>
  <c r="J17" i="4"/>
  <c r="J26" i="4"/>
  <c r="J21" i="4"/>
  <c r="J9" i="4"/>
  <c r="J11" i="4"/>
  <c r="J13" i="4"/>
  <c r="J18" i="4"/>
  <c r="J15" i="4"/>
  <c r="J14" i="4"/>
  <c r="J4" i="4"/>
  <c r="J8" i="4"/>
  <c r="J10" i="4"/>
  <c r="J19" i="4"/>
  <c r="J6" i="4"/>
  <c r="J22" i="4"/>
  <c r="J24" i="4"/>
  <c r="J20" i="4"/>
  <c r="J12" i="4"/>
  <c r="J7" i="4"/>
  <c r="J3" i="4"/>
  <c r="N28" i="3"/>
  <c r="L28" i="3"/>
  <c r="J28" i="3"/>
  <c r="H28" i="3"/>
  <c r="F28" i="3"/>
  <c r="D28" i="3"/>
  <c r="C28" i="3"/>
  <c r="B28" i="3"/>
  <c r="Q5" i="3"/>
  <c r="O5" i="3"/>
  <c r="M5" i="3"/>
  <c r="K5" i="3"/>
  <c r="I5" i="3"/>
  <c r="G5" i="3"/>
  <c r="Q17" i="3"/>
  <c r="O17" i="3"/>
  <c r="M17" i="3"/>
  <c r="K17" i="3"/>
  <c r="I17" i="3"/>
  <c r="G17" i="3"/>
  <c r="Q26" i="3"/>
  <c r="O26" i="3"/>
  <c r="M26" i="3"/>
  <c r="K26" i="3"/>
  <c r="I26" i="3"/>
  <c r="G26" i="3"/>
  <c r="Q21" i="3"/>
  <c r="O21" i="3"/>
  <c r="M21" i="3"/>
  <c r="K21" i="3"/>
  <c r="I21" i="3"/>
  <c r="G21" i="3"/>
  <c r="Q9" i="3"/>
  <c r="O9" i="3"/>
  <c r="M9" i="3"/>
  <c r="K9" i="3"/>
  <c r="I9" i="3"/>
  <c r="G9" i="3"/>
  <c r="Q11" i="3"/>
  <c r="O11" i="3"/>
  <c r="M11" i="3"/>
  <c r="K11" i="3"/>
  <c r="I11" i="3"/>
  <c r="G11" i="3"/>
  <c r="Q13" i="3"/>
  <c r="O13" i="3"/>
  <c r="M13" i="3"/>
  <c r="K13" i="3"/>
  <c r="I13" i="3"/>
  <c r="G13" i="3"/>
  <c r="Q18" i="3"/>
  <c r="O18" i="3"/>
  <c r="M18" i="3"/>
  <c r="K18" i="3"/>
  <c r="I18" i="3"/>
  <c r="G18" i="3"/>
  <c r="Q15" i="3"/>
  <c r="O15" i="3"/>
  <c r="M15" i="3"/>
  <c r="K15" i="3"/>
  <c r="I15" i="3"/>
  <c r="G15" i="3"/>
  <c r="Q14" i="3"/>
  <c r="O14" i="3"/>
  <c r="M14" i="3"/>
  <c r="K14" i="3"/>
  <c r="I14" i="3"/>
  <c r="G14" i="3"/>
  <c r="Q4" i="3"/>
  <c r="O4" i="3"/>
  <c r="M4" i="3"/>
  <c r="K4" i="3"/>
  <c r="I4" i="3"/>
  <c r="G4" i="3"/>
  <c r="Q8" i="3"/>
  <c r="O8" i="3"/>
  <c r="M8" i="3"/>
  <c r="K8" i="3"/>
  <c r="I8" i="3"/>
  <c r="G8" i="3"/>
  <c r="Q10" i="3"/>
  <c r="O10" i="3"/>
  <c r="M10" i="3"/>
  <c r="K10" i="3"/>
  <c r="I10" i="3"/>
  <c r="G10" i="3"/>
  <c r="Q19" i="3"/>
  <c r="O19" i="3"/>
  <c r="M19" i="3"/>
  <c r="K19" i="3"/>
  <c r="I19" i="3"/>
  <c r="G19" i="3"/>
  <c r="Q6" i="3"/>
  <c r="O6" i="3"/>
  <c r="M6" i="3"/>
  <c r="K6" i="3"/>
  <c r="I6" i="3"/>
  <c r="G6" i="3"/>
  <c r="Q22" i="3"/>
  <c r="O22" i="3"/>
  <c r="M22" i="3"/>
  <c r="K22" i="3"/>
  <c r="I22" i="3"/>
  <c r="G22" i="3"/>
  <c r="Q24" i="3"/>
  <c r="O24" i="3"/>
  <c r="M24" i="3"/>
  <c r="K24" i="3"/>
  <c r="I24" i="3"/>
  <c r="G24" i="3"/>
  <c r="Q20" i="3"/>
  <c r="O20" i="3"/>
  <c r="M20" i="3"/>
  <c r="K20" i="3"/>
  <c r="I20" i="3"/>
  <c r="G20" i="3"/>
  <c r="Q12" i="3"/>
  <c r="O12" i="3"/>
  <c r="M12" i="3"/>
  <c r="K12" i="3"/>
  <c r="I12" i="3"/>
  <c r="G12" i="3"/>
  <c r="Q7" i="3"/>
  <c r="O7" i="3"/>
  <c r="M7" i="3"/>
  <c r="K7" i="3"/>
  <c r="I7" i="3"/>
  <c r="G7" i="3"/>
  <c r="Q3" i="3"/>
  <c r="O3" i="3"/>
  <c r="M3" i="3"/>
  <c r="K3" i="3"/>
  <c r="I3" i="3"/>
  <c r="G3" i="3"/>
  <c r="K30" i="2" a="1"/>
  <c r="K30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6" i="2"/>
  <c r="J27" i="2"/>
  <c r="J3" i="2"/>
  <c r="B28" i="2"/>
  <c r="H28" i="2"/>
  <c r="G28" i="2"/>
  <c r="F28" i="2"/>
  <c r="E28" i="2"/>
  <c r="D28" i="2"/>
  <c r="C28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7" i="1"/>
  <c r="S27" i="1" s="1"/>
  <c r="G3" i="1"/>
  <c r="C28" i="1"/>
  <c r="Q28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5" i="1"/>
  <c r="Q27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5" i="1"/>
  <c r="O27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7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7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S16" i="1" s="1"/>
  <c r="I17" i="1"/>
  <c r="I18" i="1"/>
  <c r="I19" i="1"/>
  <c r="I20" i="1"/>
  <c r="I21" i="1"/>
  <c r="I22" i="1"/>
  <c r="I23" i="1"/>
  <c r="I25" i="1"/>
  <c r="I27" i="1"/>
  <c r="I3" i="1"/>
  <c r="E4" i="1"/>
  <c r="E5" i="1"/>
  <c r="E6" i="1"/>
  <c r="E7" i="1"/>
  <c r="E8" i="1"/>
  <c r="E9" i="1"/>
  <c r="E10" i="1"/>
  <c r="E11" i="1"/>
  <c r="E12" i="1"/>
  <c r="E13" i="1"/>
  <c r="E14" i="1"/>
  <c r="S14" i="1" s="1"/>
  <c r="E15" i="1"/>
  <c r="S15" i="1" s="1"/>
  <c r="E16" i="1"/>
  <c r="E17" i="1"/>
  <c r="E18" i="1"/>
  <c r="E19" i="1"/>
  <c r="E20" i="1"/>
  <c r="E21" i="1"/>
  <c r="E22" i="1"/>
  <c r="E23" i="1"/>
  <c r="E25" i="1"/>
  <c r="E27" i="1"/>
  <c r="E3" i="1"/>
  <c r="N28" i="1"/>
  <c r="D28" i="1"/>
  <c r="F28" i="1"/>
  <c r="H28" i="1"/>
  <c r="J28" i="1"/>
  <c r="L28" i="1"/>
  <c r="M28" i="1" s="1"/>
  <c r="B28" i="1"/>
  <c r="S27" i="3" l="1"/>
  <c r="K25" i="2"/>
  <c r="K24" i="2"/>
  <c r="B30" i="3"/>
  <c r="S25" i="3"/>
  <c r="S23" i="3"/>
  <c r="S11" i="3"/>
  <c r="K23" i="4"/>
  <c r="K25" i="4"/>
  <c r="K16" i="4"/>
  <c r="K5" i="4"/>
  <c r="K3" i="2"/>
  <c r="J28" i="2"/>
  <c r="S14" i="3"/>
  <c r="S8" i="3"/>
  <c r="B30" i="1"/>
  <c r="S25" i="1"/>
  <c r="S23" i="1"/>
  <c r="S6" i="1"/>
  <c r="S4" i="1"/>
  <c r="S8" i="1"/>
  <c r="S9" i="1"/>
  <c r="S7" i="1"/>
  <c r="S22" i="1"/>
  <c r="S21" i="1"/>
  <c r="S5" i="1"/>
  <c r="S20" i="1"/>
  <c r="S11" i="1"/>
  <c r="S19" i="1"/>
  <c r="S18" i="1"/>
  <c r="S13" i="1"/>
  <c r="S17" i="1"/>
  <c r="S12" i="1"/>
  <c r="S3" i="1"/>
  <c r="S10" i="1"/>
  <c r="I28" i="1"/>
  <c r="K28" i="1"/>
  <c r="G28" i="1"/>
  <c r="O28" i="1"/>
  <c r="S15" i="3"/>
  <c r="S21" i="3"/>
  <c r="S18" i="3"/>
  <c r="S19" i="3"/>
  <c r="S3" i="3"/>
  <c r="S7" i="3"/>
  <c r="S12" i="3"/>
  <c r="S20" i="3"/>
  <c r="S24" i="3"/>
  <c r="S22" i="3"/>
  <c r="S6" i="3"/>
  <c r="S10" i="3"/>
  <c r="S4" i="3"/>
  <c r="S17" i="3"/>
  <c r="S5" i="3"/>
  <c r="S26" i="3"/>
  <c r="S9" i="3"/>
  <c r="S13" i="3"/>
  <c r="J28" i="4"/>
  <c r="K13" i="4"/>
  <c r="K19" i="4"/>
  <c r="K11" i="4"/>
  <c r="K7" i="4"/>
  <c r="K21" i="4"/>
  <c r="K12" i="4"/>
  <c r="K26" i="4"/>
  <c r="K24" i="4"/>
  <c r="K22" i="4"/>
  <c r="K6" i="4"/>
  <c r="K27" i="4"/>
  <c r="K8" i="4"/>
  <c r="K4" i="4"/>
  <c r="K15" i="4"/>
  <c r="K18" i="4"/>
  <c r="K17" i="4"/>
  <c r="K10" i="4"/>
  <c r="K3" i="4"/>
  <c r="K9" i="4"/>
  <c r="K14" i="4"/>
  <c r="K20" i="4"/>
  <c r="K23" i="2"/>
  <c r="K19" i="2"/>
  <c r="K15" i="2"/>
  <c r="K11" i="2"/>
  <c r="K7" i="2"/>
  <c r="K5" i="2"/>
  <c r="K22" i="2"/>
  <c r="K18" i="2"/>
  <c r="K14" i="2"/>
  <c r="K10" i="2"/>
  <c r="K6" i="2"/>
  <c r="K27" i="2"/>
  <c r="K21" i="2"/>
  <c r="K17" i="2"/>
  <c r="K13" i="2"/>
  <c r="K9" i="2"/>
  <c r="K26" i="2"/>
  <c r="K20" i="2"/>
  <c r="K16" i="2"/>
  <c r="K12" i="2"/>
  <c r="K8" i="2"/>
  <c r="K4" i="2"/>
  <c r="B31" i="1" l="1"/>
  <c r="S28" i="3"/>
  <c r="B31" i="3"/>
  <c r="K28" i="4"/>
  <c r="K2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<sst xmlns="http://schemas.openxmlformats.org/spreadsheetml/2006/main" count="170" uniqueCount="54">
  <si>
    <t>DADOS DE OCUPAÇÃO DO AIRBNB - ROCK IN RIO</t>
  </si>
  <si>
    <t>13.09.2024</t>
  </si>
  <si>
    <t>14.09.2024</t>
  </si>
  <si>
    <t>15.09.2024</t>
  </si>
  <si>
    <t>19.09.2024</t>
  </si>
  <si>
    <t>20.09.2024</t>
  </si>
  <si>
    <t>21.09.2024</t>
  </si>
  <si>
    <t>22.09.2024</t>
  </si>
  <si>
    <t>Barra da Tijuca</t>
  </si>
  <si>
    <t>Copacabana</t>
  </si>
  <si>
    <t>Ipanema</t>
  </si>
  <si>
    <t>Recreio Dos Bandeirantes</t>
  </si>
  <si>
    <t>São Conrado</t>
  </si>
  <si>
    <t>Santa Teresa</t>
  </si>
  <si>
    <t>Centro</t>
  </si>
  <si>
    <t>Glória</t>
  </si>
  <si>
    <t>Flamengo</t>
  </si>
  <si>
    <t>Botafogo</t>
  </si>
  <si>
    <t>Joá</t>
  </si>
  <si>
    <t>TOTAL IMÓVEIS LISTADOS</t>
  </si>
  <si>
    <t>Jardim Botânico</t>
  </si>
  <si>
    <t>Lagoa</t>
  </si>
  <si>
    <t>Leblon</t>
  </si>
  <si>
    <t>Humaitá</t>
  </si>
  <si>
    <t>Gávea</t>
  </si>
  <si>
    <t>Vidigal</t>
  </si>
  <si>
    <t>Rocinha</t>
  </si>
  <si>
    <t>Leme</t>
  </si>
  <si>
    <t>Urca</t>
  </si>
  <si>
    <t>Laranjeiras</t>
  </si>
  <si>
    <t>Catete</t>
  </si>
  <si>
    <t>Lapa</t>
  </si>
  <si>
    <t>TOTAL</t>
  </si>
  <si>
    <t>%</t>
  </si>
  <si>
    <t>TOTAL IMÓVEIS ATIVOS JULHO</t>
  </si>
  <si>
    <t xml:space="preserve">MÉDIA GERAL DE OCUPAÇÃO </t>
  </si>
  <si>
    <t>MÉDIA GERAL %</t>
  </si>
  <si>
    <t xml:space="preserve">FONTE: https://app.airdna.co/data/br </t>
  </si>
  <si>
    <t>DIÁRIA MÉDIA AIRBNB - ROCK IN RIO</t>
  </si>
  <si>
    <t>MÉDIA GERAL POR BAIRRO</t>
  </si>
  <si>
    <t xml:space="preserve">MÉDIA GERAL </t>
  </si>
  <si>
    <t>MÉDIA GERAL POR BAIRRO - Real</t>
  </si>
  <si>
    <t>MÉDIA GERAL POR BAIRRO - Dolár</t>
  </si>
  <si>
    <t>04.09.2026</t>
  </si>
  <si>
    <t>05.09.2026</t>
  </si>
  <si>
    <t>06.09.2026</t>
  </si>
  <si>
    <t>07.09.2026</t>
  </si>
  <si>
    <t>11.09.2026</t>
  </si>
  <si>
    <t>12.09.2026</t>
  </si>
  <si>
    <t>13.09.2026</t>
  </si>
  <si>
    <t>Santo Cristo</t>
  </si>
  <si>
    <t>São Cristovão</t>
  </si>
  <si>
    <t>TOTAL IMÓVEIS LISTADOS 2024</t>
  </si>
  <si>
    <t>TOTAL IMÓVEIS ATIVOS JUNHO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</si>
</sst>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2" fillId="3" borderId="13" xfId="1" applyFont="1" applyFill="1" applyBorder="1" applyAlignment="1">
      <alignment horizontal="center" vertical="center"/>
    </xf>
    <xf numFmtId="1" fontId="0" fillId="0" borderId="13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9" fontId="2" fillId="3" borderId="15" xfId="1" applyFont="1" applyFill="1" applyBorder="1" applyAlignment="1">
      <alignment horizontal="center" vertical="center"/>
    </xf>
    <xf numFmtId="9" fontId="7" fillId="3" borderId="8" xfId="1" applyFont="1" applyFill="1" applyBorder="1" applyAlignment="1">
      <alignment horizontal="center" vertical="center"/>
    </xf>
    <xf numFmtId="9" fontId="7" fillId="3" borderId="9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1" applyFont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1" fontId="6" fillId="4" borderId="17" xfId="0" applyNumberFormat="1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9" fontId="6" fillId="4" borderId="19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center" vertical="center" wrapText="1"/>
    </xf>
    <xf numFmtId="164" fontId="0" fillId="0" borderId="13" xfId="3" applyNumberFormat="1" applyFont="1" applyBorder="1" applyAlignment="1">
      <alignment horizontal="center" vertical="center"/>
    </xf>
    <xf numFmtId="164" fontId="0" fillId="0" borderId="27" xfId="3" applyNumberFormat="1" applyFont="1" applyBorder="1" applyAlignment="1">
      <alignment horizontal="center" vertical="center"/>
    </xf>
    <xf numFmtId="164" fontId="5" fillId="2" borderId="29" xfId="3" applyNumberFormat="1" applyFont="1" applyFill="1" applyBorder="1" applyAlignment="1">
      <alignment horizontal="center" vertical="center"/>
    </xf>
    <xf numFmtId="164" fontId="5" fillId="2" borderId="30" xfId="3" applyNumberFormat="1" applyFont="1" applyFill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 wrapText="1"/>
    </xf>
    <xf numFmtId="164" fontId="13" fillId="5" borderId="33" xfId="0" applyNumberFormat="1" applyFont="1" applyFill="1" applyBorder="1" applyAlignment="1">
      <alignment horizontal="center" vertical="center"/>
    </xf>
    <xf numFmtId="164" fontId="13" fillId="5" borderId="35" xfId="0" applyNumberFormat="1" applyFont="1" applyFill="1" applyBorder="1" applyAlignment="1">
      <alignment horizontal="center" vertical="center"/>
    </xf>
    <xf numFmtId="164" fontId="13" fillId="5" borderId="37" xfId="0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2" fillId="6" borderId="20" xfId="0" applyFont="1" applyFill="1" applyBorder="1" applyAlignment="1">
      <alignment horizontal="center" vertical="center" wrapText="1"/>
    </xf>
    <xf numFmtId="165" fontId="13" fillId="6" borderId="34" xfId="0" applyNumberFormat="1" applyFont="1" applyFill="1" applyBorder="1" applyAlignment="1">
      <alignment horizontal="center" vertical="center"/>
    </xf>
    <xf numFmtId="165" fontId="13" fillId="6" borderId="36" xfId="0" applyNumberFormat="1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vertical="center" wrapText="1"/>
    </xf>
    <xf numFmtId="165" fontId="14" fillId="7" borderId="38" xfId="3" applyNumberFormat="1" applyFont="1" applyFill="1" applyBorder="1" applyAlignment="1">
      <alignment horizontal="center" vertical="center"/>
    </xf>
    <xf numFmtId="165" fontId="13" fillId="6" borderId="39" xfId="0" applyNumberFormat="1" applyFont="1" applyFill="1" applyBorder="1" applyAlignment="1">
      <alignment horizontal="center" vertical="center"/>
    </xf>
    <xf numFmtId="9" fontId="13" fillId="5" borderId="40" xfId="0" applyNumberFormat="1" applyFont="1" applyFill="1" applyBorder="1" applyAlignment="1">
      <alignment horizontal="center" vertical="center"/>
    </xf>
    <xf numFmtId="9" fontId="13" fillId="5" borderId="41" xfId="0" applyNumberFormat="1" applyFont="1" applyFill="1" applyBorder="1" applyAlignment="1">
      <alignment horizontal="center" vertical="center"/>
    </xf>
    <xf numFmtId="9" fontId="7" fillId="5" borderId="39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4">
    <cellStyle name="Hiperlink" xfId="2" builtinId="8"/>
    <cellStyle name="Moeda" xfId="3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5" Type="http://schemas.openxmlformats.org/officeDocument/2006/relationships/theme" Target="theme/theme1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pt-BR</v>
    <v>avylgh</v>
    <v>268435456</v>
    <v>1</v>
    <v>Da plataforma Refinitiv</v>
    <v>0</v>
    <v>1</v>
    <v>USD/BRL</v>
    <v>3</v>
    <v>4</v>
    <v>Finance</v>
    <v>5</v>
    <v>5.6298000000000004</v>
    <v>4.8848000000000003</v>
    <v>5.0808</v>
    <v>5.0477999999999996</v>
    <v>USD</v>
    <v>5.0612000000000004</v>
    <v>46189.557314814818</v>
    <v>BRL</v>
    <v>US Dollar/Brazilian Real FX Spot Rate</v>
    <v>5.0609000000000002</v>
    <v>5.0774999999999997</v>
    <v>USDBRL</v>
    <v>Par de Moedas</v>
    <v>USD/BRL</v>
    <v>1.6299999999999999E-2</v>
    <v>3.2209999999999999E-3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</spbArrays>
  <spbData count="6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F5A5-1ABA-4371-947E-432D939800EA}">
  <sheetPr>
    <pageSetUpPr fitToPage="1"/>
  </sheetPr>
  <dimension ref="A1:S50"/>
  <sheetViews>
    <sheetView workbookViewId="0">
      <selection activeCell="G28" sqref="G28"/>
    </sheetView>
  </sheetViews>
  <sheetFormatPr defaultRowHeight="15" x14ac:dyDescent="0.25"/>
  <cols>
    <col min="1" max="1" width="26.42578125" style="1" bestFit="1" customWidth="1"/>
    <col min="2" max="2" width="18.42578125" style="1" customWidth="1"/>
    <col min="3" max="3" width="17.85546875" style="1" customWidth="1"/>
    <col min="4" max="4" width="11.28515625" style="1" customWidth="1"/>
    <col min="5" max="5" width="8.5703125" style="11" customWidth="1"/>
    <col min="6" max="6" width="11.28515625" style="1" customWidth="1"/>
    <col min="7" max="7" width="6.7109375" style="1" customWidth="1"/>
    <col min="8" max="8" width="11.28515625" style="1" customWidth="1"/>
    <col min="9" max="9" width="8.5703125" style="1" customWidth="1"/>
    <col min="10" max="10" width="11.28515625" style="1" customWidth="1"/>
    <col min="11" max="11" width="7.85546875" style="11" customWidth="1"/>
    <col min="12" max="12" width="11.28515625" style="1" customWidth="1"/>
    <col min="13" max="13" width="7.85546875" style="1" customWidth="1"/>
    <col min="14" max="14" width="11.28515625" style="1" customWidth="1"/>
    <col min="15" max="15" width="8.5703125" style="1" customWidth="1"/>
    <col min="16" max="17" width="11.28515625" style="1" customWidth="1"/>
    <col min="18" max="18" width="9.140625" style="1"/>
    <col min="19" max="19" width="13.42578125" style="1" bestFit="1" customWidth="1"/>
    <col min="20" max="16384" width="9.140625" style="1"/>
  </cols>
  <sheetData>
    <row r="1" spans="1:19" ht="32.25" customHeight="1" thickBot="1" x14ac:dyDescent="0.3">
      <c r="A1" s="55" t="s">
        <v>0</v>
      </c>
      <c r="B1" s="5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58"/>
      <c r="Q1" s="59"/>
    </row>
    <row r="2" spans="1:19" ht="31.5" customHeight="1" thickBot="1" x14ac:dyDescent="0.3">
      <c r="A2" s="4"/>
      <c r="B2" s="5" t="s">
        <v>19</v>
      </c>
      <c r="C2" s="5" t="s">
        <v>34</v>
      </c>
      <c r="D2" s="6" t="s">
        <v>1</v>
      </c>
      <c r="E2" s="9" t="s">
        <v>33</v>
      </c>
      <c r="F2" s="6" t="s">
        <v>2</v>
      </c>
      <c r="G2" s="6" t="s">
        <v>33</v>
      </c>
      <c r="H2" s="6" t="s">
        <v>3</v>
      </c>
      <c r="I2" s="6" t="s">
        <v>33</v>
      </c>
      <c r="J2" s="6" t="s">
        <v>4</v>
      </c>
      <c r="K2" s="9" t="s">
        <v>33</v>
      </c>
      <c r="L2" s="6" t="s">
        <v>5</v>
      </c>
      <c r="M2" s="6" t="s">
        <v>33</v>
      </c>
      <c r="N2" s="6" t="s">
        <v>6</v>
      </c>
      <c r="O2" s="8" t="s">
        <v>33</v>
      </c>
      <c r="P2" s="12" t="s">
        <v>7</v>
      </c>
      <c r="Q2" s="7" t="s">
        <v>33</v>
      </c>
      <c r="S2" s="32" t="s">
        <v>39</v>
      </c>
    </row>
    <row r="3" spans="1:19" ht="15.75" x14ac:dyDescent="0.25">
      <c r="A3" s="18" t="s">
        <v>8</v>
      </c>
      <c r="B3" s="14">
        <v>3700</v>
      </c>
      <c r="C3" s="14">
        <v>1862</v>
      </c>
      <c r="D3" s="15">
        <v>1500</v>
      </c>
      <c r="E3" s="16">
        <f t="shared" ref="E3:E27" si="0">D3/C3</f>
        <v>0.80558539205155744</v>
      </c>
      <c r="F3" s="15">
        <v>1600</v>
      </c>
      <c r="G3" s="16">
        <f t="shared" ref="G3:G28" si="1">F3/C3</f>
        <v>0.85929108485499461</v>
      </c>
      <c r="H3" s="15">
        <v>1200</v>
      </c>
      <c r="I3" s="16">
        <f t="shared" ref="I3:I28" si="2">H3/C3</f>
        <v>0.64446831364124602</v>
      </c>
      <c r="J3" s="15">
        <v>1100</v>
      </c>
      <c r="K3" s="16">
        <f t="shared" ref="K3:K28" si="3">J3/C3</f>
        <v>0.59076262083780884</v>
      </c>
      <c r="L3" s="15">
        <v>1300</v>
      </c>
      <c r="M3" s="16">
        <f t="shared" ref="M3:M28" si="4">L3/C3</f>
        <v>0.69817400644468308</v>
      </c>
      <c r="N3" s="15">
        <v>1400</v>
      </c>
      <c r="O3" s="16">
        <f t="shared" ref="O3:O28" si="5">N3/C3</f>
        <v>0.75187969924812026</v>
      </c>
      <c r="P3" s="17">
        <v>1000</v>
      </c>
      <c r="Q3" s="19">
        <f t="shared" ref="Q3:Q28" si="6">P3/C3</f>
        <v>0.53705692803437166</v>
      </c>
      <c r="S3" s="50">
        <f>AVERAGE(E3,G3,I3,K3,M3,O3,Q3)</f>
        <v>0.69817400644468319</v>
      </c>
    </row>
    <row r="4" spans="1:19" ht="15.75" x14ac:dyDescent="0.25">
      <c r="A4" s="18" t="s">
        <v>9</v>
      </c>
      <c r="B4" s="14">
        <v>13500</v>
      </c>
      <c r="C4" s="14">
        <v>7756</v>
      </c>
      <c r="D4" s="15">
        <v>3800</v>
      </c>
      <c r="E4" s="16">
        <f t="shared" si="0"/>
        <v>0.48994326972666324</v>
      </c>
      <c r="F4" s="15">
        <v>4000</v>
      </c>
      <c r="G4" s="16">
        <f t="shared" si="1"/>
        <v>0.51572975760701389</v>
      </c>
      <c r="H4" s="15">
        <v>3300</v>
      </c>
      <c r="I4" s="16">
        <f t="shared" si="2"/>
        <v>0.42547705002578651</v>
      </c>
      <c r="J4" s="15">
        <v>3700</v>
      </c>
      <c r="K4" s="16">
        <f t="shared" si="3"/>
        <v>0.47705002578648786</v>
      </c>
      <c r="L4" s="15">
        <v>4200</v>
      </c>
      <c r="M4" s="16">
        <f t="shared" si="4"/>
        <v>0.54151624548736466</v>
      </c>
      <c r="N4" s="15">
        <v>4200</v>
      </c>
      <c r="O4" s="16">
        <f t="shared" si="5"/>
        <v>0.54151624548736466</v>
      </c>
      <c r="P4" s="17">
        <v>3400</v>
      </c>
      <c r="Q4" s="19">
        <f t="shared" si="6"/>
        <v>0.43837029396596183</v>
      </c>
      <c r="S4" s="51">
        <f t="shared" ref="S4:S27" si="7">AVERAGE(E4,G4,I4,K4,M4,O4,Q4)</f>
        <v>0.48994326972666319</v>
      </c>
    </row>
    <row r="5" spans="1:19" ht="15.75" x14ac:dyDescent="0.25">
      <c r="A5" s="18" t="s">
        <v>10</v>
      </c>
      <c r="B5" s="14">
        <v>4300</v>
      </c>
      <c r="C5" s="14">
        <v>2515</v>
      </c>
      <c r="D5" s="15">
        <v>1100</v>
      </c>
      <c r="E5" s="16">
        <f t="shared" si="0"/>
        <v>0.43737574552683894</v>
      </c>
      <c r="F5" s="15">
        <v>1100</v>
      </c>
      <c r="G5" s="16">
        <f t="shared" si="1"/>
        <v>0.43737574552683894</v>
      </c>
      <c r="H5" s="15">
        <v>834</v>
      </c>
      <c r="I5" s="16">
        <f t="shared" si="2"/>
        <v>0.33161033797216699</v>
      </c>
      <c r="J5" s="15">
        <v>1000</v>
      </c>
      <c r="K5" s="16">
        <f t="shared" si="3"/>
        <v>0.39761431411530818</v>
      </c>
      <c r="L5" s="15">
        <v>1200</v>
      </c>
      <c r="M5" s="16">
        <f t="shared" si="4"/>
        <v>0.47713717693836977</v>
      </c>
      <c r="N5" s="15">
        <v>1200</v>
      </c>
      <c r="O5" s="16">
        <f t="shared" si="5"/>
        <v>0.47713717693836977</v>
      </c>
      <c r="P5" s="17">
        <v>870</v>
      </c>
      <c r="Q5" s="19">
        <f t="shared" si="6"/>
        <v>0.34592445328031807</v>
      </c>
      <c r="S5" s="51">
        <f t="shared" si="7"/>
        <v>0.41488213575688715</v>
      </c>
    </row>
    <row r="6" spans="1:19" ht="15.75" x14ac:dyDescent="0.25">
      <c r="A6" s="18" t="s">
        <v>11</v>
      </c>
      <c r="B6" s="14">
        <v>1900</v>
      </c>
      <c r="C6" s="14">
        <v>791</v>
      </c>
      <c r="D6" s="15">
        <v>864</v>
      </c>
      <c r="E6" s="16">
        <f t="shared" si="0"/>
        <v>1.0922882427307206</v>
      </c>
      <c r="F6" s="15">
        <v>930</v>
      </c>
      <c r="G6" s="16">
        <f t="shared" si="1"/>
        <v>1.1757269279393172</v>
      </c>
      <c r="H6" s="15">
        <v>610</v>
      </c>
      <c r="I6" s="16">
        <f t="shared" si="2"/>
        <v>0.77117572692793934</v>
      </c>
      <c r="J6" s="15">
        <v>524</v>
      </c>
      <c r="K6" s="16">
        <f t="shared" si="3"/>
        <v>0.66245259165613146</v>
      </c>
      <c r="L6" s="15">
        <v>686</v>
      </c>
      <c r="M6" s="16">
        <f t="shared" si="4"/>
        <v>0.86725663716814161</v>
      </c>
      <c r="N6" s="15">
        <v>732</v>
      </c>
      <c r="O6" s="16">
        <f t="shared" si="5"/>
        <v>0.92541087231352714</v>
      </c>
      <c r="P6" s="17">
        <v>560</v>
      </c>
      <c r="Q6" s="19">
        <f t="shared" si="6"/>
        <v>0.70796460176991149</v>
      </c>
      <c r="S6" s="51">
        <f t="shared" si="7"/>
        <v>0.88603937150081269</v>
      </c>
    </row>
    <row r="7" spans="1:19" ht="15.75" x14ac:dyDescent="0.25">
      <c r="A7" s="18" t="s">
        <v>12</v>
      </c>
      <c r="B7" s="14">
        <v>237</v>
      </c>
      <c r="C7" s="14">
        <v>70</v>
      </c>
      <c r="D7" s="15">
        <v>43</v>
      </c>
      <c r="E7" s="16">
        <f t="shared" si="0"/>
        <v>0.61428571428571432</v>
      </c>
      <c r="F7" s="15">
        <v>51</v>
      </c>
      <c r="G7" s="16">
        <f t="shared" si="1"/>
        <v>0.72857142857142854</v>
      </c>
      <c r="H7" s="15">
        <v>31</v>
      </c>
      <c r="I7" s="16">
        <f t="shared" si="2"/>
        <v>0.44285714285714284</v>
      </c>
      <c r="J7" s="15">
        <v>31</v>
      </c>
      <c r="K7" s="16">
        <f t="shared" si="3"/>
        <v>0.44285714285714284</v>
      </c>
      <c r="L7" s="15">
        <v>38</v>
      </c>
      <c r="M7" s="16">
        <f t="shared" si="4"/>
        <v>0.54285714285714282</v>
      </c>
      <c r="N7" s="15">
        <v>44</v>
      </c>
      <c r="O7" s="16">
        <f t="shared" si="5"/>
        <v>0.62857142857142856</v>
      </c>
      <c r="P7" s="17">
        <v>29</v>
      </c>
      <c r="Q7" s="19">
        <f t="shared" si="6"/>
        <v>0.41428571428571431</v>
      </c>
      <c r="S7" s="51">
        <f t="shared" si="7"/>
        <v>0.54489795918367345</v>
      </c>
    </row>
    <row r="8" spans="1:19" ht="15.75" x14ac:dyDescent="0.25">
      <c r="A8" s="18" t="s">
        <v>13</v>
      </c>
      <c r="B8" s="14">
        <v>1400</v>
      </c>
      <c r="C8" s="14">
        <v>579</v>
      </c>
      <c r="D8" s="15">
        <v>233</v>
      </c>
      <c r="E8" s="16">
        <f t="shared" si="0"/>
        <v>0.40241796200345425</v>
      </c>
      <c r="F8" s="15">
        <v>260</v>
      </c>
      <c r="G8" s="16">
        <f t="shared" si="1"/>
        <v>0.44905008635578586</v>
      </c>
      <c r="H8" s="15">
        <v>218</v>
      </c>
      <c r="I8" s="16">
        <f t="shared" si="2"/>
        <v>0.37651122625215888</v>
      </c>
      <c r="J8" s="15">
        <v>250</v>
      </c>
      <c r="K8" s="16">
        <f t="shared" si="3"/>
        <v>0.43177892918825561</v>
      </c>
      <c r="L8" s="15">
        <v>287</v>
      </c>
      <c r="M8" s="16">
        <f t="shared" si="4"/>
        <v>0.49568221070811747</v>
      </c>
      <c r="N8" s="15">
        <v>292</v>
      </c>
      <c r="O8" s="16">
        <f t="shared" si="5"/>
        <v>0.50431778929188253</v>
      </c>
      <c r="P8" s="17">
        <v>223</v>
      </c>
      <c r="Q8" s="19">
        <f t="shared" si="6"/>
        <v>0.38514680483592401</v>
      </c>
      <c r="S8" s="51">
        <f t="shared" si="7"/>
        <v>0.43498642980508262</v>
      </c>
    </row>
    <row r="9" spans="1:19" ht="15.75" x14ac:dyDescent="0.25">
      <c r="A9" s="18" t="s">
        <v>14</v>
      </c>
      <c r="B9" s="14">
        <v>1700</v>
      </c>
      <c r="C9" s="14">
        <v>882</v>
      </c>
      <c r="D9" s="15">
        <v>459</v>
      </c>
      <c r="E9" s="16">
        <f t="shared" si="0"/>
        <v>0.52040816326530615</v>
      </c>
      <c r="F9" s="15">
        <v>516</v>
      </c>
      <c r="G9" s="16">
        <f t="shared" si="1"/>
        <v>0.58503401360544216</v>
      </c>
      <c r="H9" s="15">
        <v>415</v>
      </c>
      <c r="I9" s="16">
        <f t="shared" si="2"/>
        <v>0.47052154195011336</v>
      </c>
      <c r="J9" s="15">
        <v>495</v>
      </c>
      <c r="K9" s="16">
        <f t="shared" si="3"/>
        <v>0.56122448979591832</v>
      </c>
      <c r="L9" s="15">
        <v>566</v>
      </c>
      <c r="M9" s="16">
        <f t="shared" si="4"/>
        <v>0.64172335600907027</v>
      </c>
      <c r="N9" s="15">
        <v>558</v>
      </c>
      <c r="O9" s="16">
        <f t="shared" si="5"/>
        <v>0.63265306122448983</v>
      </c>
      <c r="P9" s="17">
        <v>419</v>
      </c>
      <c r="Q9" s="19">
        <f t="shared" si="6"/>
        <v>0.47505668934240364</v>
      </c>
      <c r="S9" s="51">
        <f t="shared" si="7"/>
        <v>0.55523161645610619</v>
      </c>
    </row>
    <row r="10" spans="1:19" ht="15.75" x14ac:dyDescent="0.25">
      <c r="A10" s="18" t="s">
        <v>27</v>
      </c>
      <c r="B10" s="14">
        <v>929</v>
      </c>
      <c r="C10" s="14">
        <v>479</v>
      </c>
      <c r="D10" s="15">
        <v>206</v>
      </c>
      <c r="E10" s="16">
        <f t="shared" si="0"/>
        <v>0.43006263048016702</v>
      </c>
      <c r="F10" s="15">
        <v>234</v>
      </c>
      <c r="G10" s="16">
        <f t="shared" si="1"/>
        <v>0.48851774530271397</v>
      </c>
      <c r="H10" s="15">
        <v>190</v>
      </c>
      <c r="I10" s="16">
        <f t="shared" si="2"/>
        <v>0.39665970772442588</v>
      </c>
      <c r="J10" s="15">
        <v>233</v>
      </c>
      <c r="K10" s="16">
        <f t="shared" si="3"/>
        <v>0.48643006263048016</v>
      </c>
      <c r="L10" s="15">
        <v>255</v>
      </c>
      <c r="M10" s="16">
        <f t="shared" si="4"/>
        <v>0.53235908141962418</v>
      </c>
      <c r="N10" s="15">
        <v>253</v>
      </c>
      <c r="O10" s="16">
        <f t="shared" si="5"/>
        <v>0.52818371607515657</v>
      </c>
      <c r="P10" s="17">
        <v>203</v>
      </c>
      <c r="Q10" s="19">
        <f t="shared" si="6"/>
        <v>0.42379958246346555</v>
      </c>
      <c r="S10" s="51">
        <f t="shared" si="7"/>
        <v>0.46943036087086198</v>
      </c>
    </row>
    <row r="11" spans="1:19" ht="15.75" x14ac:dyDescent="0.25">
      <c r="A11" s="18" t="s">
        <v>15</v>
      </c>
      <c r="B11" s="14">
        <v>346</v>
      </c>
      <c r="C11" s="14">
        <v>180</v>
      </c>
      <c r="D11" s="15">
        <v>78</v>
      </c>
      <c r="E11" s="16">
        <f t="shared" si="0"/>
        <v>0.43333333333333335</v>
      </c>
      <c r="F11" s="15">
        <v>90</v>
      </c>
      <c r="G11" s="16">
        <f t="shared" si="1"/>
        <v>0.5</v>
      </c>
      <c r="H11" s="15">
        <v>74</v>
      </c>
      <c r="I11" s="16">
        <f t="shared" si="2"/>
        <v>0.41111111111111109</v>
      </c>
      <c r="J11" s="15">
        <v>89</v>
      </c>
      <c r="K11" s="16">
        <f t="shared" si="3"/>
        <v>0.49444444444444446</v>
      </c>
      <c r="L11" s="15">
        <v>101</v>
      </c>
      <c r="M11" s="16">
        <f t="shared" si="4"/>
        <v>0.56111111111111112</v>
      </c>
      <c r="N11" s="15">
        <v>99</v>
      </c>
      <c r="O11" s="16">
        <f t="shared" si="5"/>
        <v>0.55000000000000004</v>
      </c>
      <c r="P11" s="17">
        <v>79</v>
      </c>
      <c r="Q11" s="19">
        <f t="shared" si="6"/>
        <v>0.43888888888888888</v>
      </c>
      <c r="S11" s="51">
        <f t="shared" si="7"/>
        <v>0.48412698412698418</v>
      </c>
    </row>
    <row r="12" spans="1:19" ht="15.75" x14ac:dyDescent="0.25">
      <c r="A12" s="18" t="s">
        <v>16</v>
      </c>
      <c r="B12" s="14">
        <v>996</v>
      </c>
      <c r="C12" s="14">
        <v>547</v>
      </c>
      <c r="D12" s="15">
        <v>238</v>
      </c>
      <c r="E12" s="16">
        <f t="shared" si="0"/>
        <v>0.43510054844606949</v>
      </c>
      <c r="F12" s="15">
        <v>255</v>
      </c>
      <c r="G12" s="16">
        <f t="shared" si="1"/>
        <v>0.46617915904936014</v>
      </c>
      <c r="H12" s="15">
        <v>205</v>
      </c>
      <c r="I12" s="16">
        <f t="shared" si="2"/>
        <v>0.37477148080438755</v>
      </c>
      <c r="J12" s="15">
        <v>242</v>
      </c>
      <c r="K12" s="16">
        <f t="shared" si="3"/>
        <v>0.44241316270566727</v>
      </c>
      <c r="L12" s="15">
        <v>276</v>
      </c>
      <c r="M12" s="16">
        <f t="shared" si="4"/>
        <v>0.50457038391224862</v>
      </c>
      <c r="N12" s="15">
        <v>278</v>
      </c>
      <c r="O12" s="16">
        <f t="shared" si="5"/>
        <v>0.50822669104204754</v>
      </c>
      <c r="P12" s="17">
        <v>211</v>
      </c>
      <c r="Q12" s="19">
        <f t="shared" si="6"/>
        <v>0.3857404021937843</v>
      </c>
      <c r="S12" s="51">
        <f t="shared" si="7"/>
        <v>0.4452859754505093</v>
      </c>
    </row>
    <row r="13" spans="1:19" ht="15.75" x14ac:dyDescent="0.25">
      <c r="A13" s="18" t="s">
        <v>17</v>
      </c>
      <c r="B13" s="14">
        <v>1800</v>
      </c>
      <c r="C13" s="14">
        <v>899</v>
      </c>
      <c r="D13" s="15">
        <v>466</v>
      </c>
      <c r="E13" s="16">
        <f t="shared" si="0"/>
        <v>0.51835372636262511</v>
      </c>
      <c r="F13" s="15">
        <v>513</v>
      </c>
      <c r="G13" s="16">
        <f t="shared" si="1"/>
        <v>0.57063403781979982</v>
      </c>
      <c r="H13" s="15">
        <v>426</v>
      </c>
      <c r="I13" s="16">
        <f t="shared" si="2"/>
        <v>0.4738598442714127</v>
      </c>
      <c r="J13" s="15">
        <v>464</v>
      </c>
      <c r="K13" s="16">
        <f t="shared" si="3"/>
        <v>0.5161290322580645</v>
      </c>
      <c r="L13" s="15">
        <v>520</v>
      </c>
      <c r="M13" s="16">
        <f t="shared" si="4"/>
        <v>0.57842046718576201</v>
      </c>
      <c r="N13" s="15">
        <v>521</v>
      </c>
      <c r="O13" s="16">
        <f t="shared" si="5"/>
        <v>0.57953281423804226</v>
      </c>
      <c r="P13" s="17">
        <v>410</v>
      </c>
      <c r="Q13" s="19">
        <f t="shared" si="6"/>
        <v>0.45606229143492771</v>
      </c>
      <c r="S13" s="51">
        <f t="shared" si="7"/>
        <v>0.52757031622437633</v>
      </c>
    </row>
    <row r="14" spans="1:19" ht="15.75" x14ac:dyDescent="0.25">
      <c r="A14" s="18" t="s">
        <v>18</v>
      </c>
      <c r="B14" s="14">
        <v>115</v>
      </c>
      <c r="C14" s="14">
        <v>49</v>
      </c>
      <c r="D14" s="15">
        <v>30</v>
      </c>
      <c r="E14" s="16">
        <f t="shared" si="0"/>
        <v>0.61224489795918369</v>
      </c>
      <c r="F14" s="15">
        <v>32</v>
      </c>
      <c r="G14" s="16">
        <f t="shared" si="1"/>
        <v>0.65306122448979587</v>
      </c>
      <c r="H14" s="15">
        <v>27</v>
      </c>
      <c r="I14" s="16">
        <f t="shared" si="2"/>
        <v>0.55102040816326525</v>
      </c>
      <c r="J14" s="15">
        <v>20</v>
      </c>
      <c r="K14" s="16">
        <f t="shared" si="3"/>
        <v>0.40816326530612246</v>
      </c>
      <c r="L14" s="15">
        <v>21</v>
      </c>
      <c r="M14" s="16">
        <f t="shared" si="4"/>
        <v>0.42857142857142855</v>
      </c>
      <c r="N14" s="15">
        <v>20</v>
      </c>
      <c r="O14" s="16">
        <f t="shared" si="5"/>
        <v>0.40816326530612246</v>
      </c>
      <c r="P14" s="17">
        <v>18</v>
      </c>
      <c r="Q14" s="19">
        <f t="shared" si="6"/>
        <v>0.36734693877551022</v>
      </c>
      <c r="S14" s="51">
        <f t="shared" si="7"/>
        <v>0.48979591836734693</v>
      </c>
    </row>
    <row r="15" spans="1:19" ht="15.75" x14ac:dyDescent="0.25">
      <c r="A15" s="18" t="s">
        <v>21</v>
      </c>
      <c r="B15" s="14">
        <v>237</v>
      </c>
      <c r="C15" s="14">
        <v>93</v>
      </c>
      <c r="D15" s="15">
        <v>43</v>
      </c>
      <c r="E15" s="16">
        <f t="shared" si="0"/>
        <v>0.46236559139784944</v>
      </c>
      <c r="F15" s="15">
        <v>48</v>
      </c>
      <c r="G15" s="16">
        <f t="shared" si="1"/>
        <v>0.5161290322580645</v>
      </c>
      <c r="H15" s="15">
        <v>38</v>
      </c>
      <c r="I15" s="16">
        <f t="shared" si="2"/>
        <v>0.40860215053763443</v>
      </c>
      <c r="J15" s="15">
        <v>32</v>
      </c>
      <c r="K15" s="16">
        <f t="shared" si="3"/>
        <v>0.34408602150537637</v>
      </c>
      <c r="L15" s="15">
        <v>43</v>
      </c>
      <c r="M15" s="16">
        <f t="shared" si="4"/>
        <v>0.46236559139784944</v>
      </c>
      <c r="N15" s="15">
        <v>43</v>
      </c>
      <c r="O15" s="16">
        <f t="shared" si="5"/>
        <v>0.46236559139784944</v>
      </c>
      <c r="P15" s="17">
        <v>35</v>
      </c>
      <c r="Q15" s="19">
        <f t="shared" si="6"/>
        <v>0.37634408602150538</v>
      </c>
      <c r="S15" s="51">
        <f t="shared" si="7"/>
        <v>0.43317972350230421</v>
      </c>
    </row>
    <row r="16" spans="1:19" ht="15.75" x14ac:dyDescent="0.25">
      <c r="A16" s="18" t="s">
        <v>22</v>
      </c>
      <c r="B16" s="14">
        <v>2000</v>
      </c>
      <c r="C16" s="14">
        <v>1258</v>
      </c>
      <c r="D16" s="15">
        <v>508</v>
      </c>
      <c r="E16" s="16">
        <f t="shared" si="0"/>
        <v>0.40381558028616854</v>
      </c>
      <c r="F16" s="15">
        <v>521</v>
      </c>
      <c r="G16" s="16">
        <f t="shared" si="1"/>
        <v>0.41414944356120825</v>
      </c>
      <c r="H16" s="15">
        <v>381</v>
      </c>
      <c r="I16" s="16">
        <f t="shared" si="2"/>
        <v>0.30286168521462636</v>
      </c>
      <c r="J16" s="15">
        <v>443</v>
      </c>
      <c r="K16" s="16">
        <f t="shared" si="3"/>
        <v>0.35214626391096981</v>
      </c>
      <c r="L16" s="15">
        <v>505</v>
      </c>
      <c r="M16" s="16">
        <f t="shared" si="4"/>
        <v>0.40143084260731321</v>
      </c>
      <c r="N16" s="15">
        <v>513</v>
      </c>
      <c r="O16" s="16">
        <f t="shared" si="5"/>
        <v>0.40779014308426076</v>
      </c>
      <c r="P16" s="17">
        <v>401</v>
      </c>
      <c r="Q16" s="19">
        <f t="shared" si="6"/>
        <v>0.31875993640699524</v>
      </c>
      <c r="S16" s="51">
        <f t="shared" si="7"/>
        <v>0.37156484215307745</v>
      </c>
    </row>
    <row r="17" spans="1:19" ht="15.75" x14ac:dyDescent="0.25">
      <c r="A17" s="18" t="s">
        <v>20</v>
      </c>
      <c r="B17" s="14">
        <v>211</v>
      </c>
      <c r="C17" s="14">
        <v>74</v>
      </c>
      <c r="D17" s="15">
        <v>29</v>
      </c>
      <c r="E17" s="16">
        <f t="shared" si="0"/>
        <v>0.39189189189189189</v>
      </c>
      <c r="F17" s="15">
        <v>34</v>
      </c>
      <c r="G17" s="16">
        <f t="shared" si="1"/>
        <v>0.45945945945945948</v>
      </c>
      <c r="H17" s="15">
        <v>26</v>
      </c>
      <c r="I17" s="16">
        <f t="shared" si="2"/>
        <v>0.35135135135135137</v>
      </c>
      <c r="J17" s="15">
        <v>29</v>
      </c>
      <c r="K17" s="16">
        <f t="shared" si="3"/>
        <v>0.39189189189189189</v>
      </c>
      <c r="L17" s="15">
        <v>36</v>
      </c>
      <c r="M17" s="16">
        <f t="shared" si="4"/>
        <v>0.48648648648648651</v>
      </c>
      <c r="N17" s="15">
        <v>34</v>
      </c>
      <c r="O17" s="16">
        <f t="shared" si="5"/>
        <v>0.45945945945945948</v>
      </c>
      <c r="P17" s="17">
        <v>26</v>
      </c>
      <c r="Q17" s="19">
        <f t="shared" si="6"/>
        <v>0.35135135135135137</v>
      </c>
      <c r="S17" s="51">
        <f t="shared" si="7"/>
        <v>0.41312741312741313</v>
      </c>
    </row>
    <row r="18" spans="1:19" ht="15.75" x14ac:dyDescent="0.25">
      <c r="A18" s="18" t="s">
        <v>23</v>
      </c>
      <c r="B18" s="14">
        <v>205</v>
      </c>
      <c r="C18" s="14">
        <v>71</v>
      </c>
      <c r="D18" s="15">
        <v>38</v>
      </c>
      <c r="E18" s="16">
        <f t="shared" si="0"/>
        <v>0.53521126760563376</v>
      </c>
      <c r="F18" s="15">
        <v>43</v>
      </c>
      <c r="G18" s="16">
        <f t="shared" si="1"/>
        <v>0.60563380281690138</v>
      </c>
      <c r="H18" s="15">
        <v>34</v>
      </c>
      <c r="I18" s="16">
        <f t="shared" si="2"/>
        <v>0.47887323943661969</v>
      </c>
      <c r="J18" s="15">
        <v>39</v>
      </c>
      <c r="K18" s="16">
        <f t="shared" si="3"/>
        <v>0.54929577464788737</v>
      </c>
      <c r="L18" s="15">
        <v>45</v>
      </c>
      <c r="M18" s="16">
        <f t="shared" si="4"/>
        <v>0.63380281690140849</v>
      </c>
      <c r="N18" s="15">
        <v>47</v>
      </c>
      <c r="O18" s="16">
        <f t="shared" si="5"/>
        <v>0.6619718309859155</v>
      </c>
      <c r="P18" s="17">
        <v>36</v>
      </c>
      <c r="Q18" s="19">
        <f t="shared" si="6"/>
        <v>0.50704225352112675</v>
      </c>
      <c r="S18" s="51">
        <f t="shared" si="7"/>
        <v>0.56740442655935619</v>
      </c>
    </row>
    <row r="19" spans="1:19" ht="15.75" x14ac:dyDescent="0.25">
      <c r="A19" s="18" t="s">
        <v>24</v>
      </c>
      <c r="B19" s="14">
        <v>220</v>
      </c>
      <c r="C19" s="14">
        <v>94</v>
      </c>
      <c r="D19" s="15">
        <v>33</v>
      </c>
      <c r="E19" s="16">
        <f t="shared" si="0"/>
        <v>0.35106382978723405</v>
      </c>
      <c r="F19" s="15">
        <v>30</v>
      </c>
      <c r="G19" s="16">
        <f t="shared" si="1"/>
        <v>0.31914893617021278</v>
      </c>
      <c r="H19" s="15">
        <v>22</v>
      </c>
      <c r="I19" s="16">
        <f t="shared" si="2"/>
        <v>0.23404255319148937</v>
      </c>
      <c r="J19" s="15">
        <v>29</v>
      </c>
      <c r="K19" s="16">
        <f t="shared" si="3"/>
        <v>0.30851063829787234</v>
      </c>
      <c r="L19" s="15">
        <v>36</v>
      </c>
      <c r="M19" s="16">
        <f t="shared" si="4"/>
        <v>0.38297872340425532</v>
      </c>
      <c r="N19" s="15">
        <v>35</v>
      </c>
      <c r="O19" s="16">
        <f t="shared" si="5"/>
        <v>0.37234042553191488</v>
      </c>
      <c r="P19" s="17">
        <v>30</v>
      </c>
      <c r="Q19" s="19">
        <f t="shared" si="6"/>
        <v>0.31914893617021278</v>
      </c>
      <c r="S19" s="51">
        <f t="shared" si="7"/>
        <v>0.32674772036474165</v>
      </c>
    </row>
    <row r="20" spans="1:19" ht="15.75" x14ac:dyDescent="0.25">
      <c r="A20" s="18" t="s">
        <v>26</v>
      </c>
      <c r="B20" s="14">
        <v>21</v>
      </c>
      <c r="C20" s="14">
        <v>8</v>
      </c>
      <c r="D20" s="15">
        <v>2</v>
      </c>
      <c r="E20" s="16">
        <f t="shared" si="0"/>
        <v>0.25</v>
      </c>
      <c r="F20" s="15">
        <v>3</v>
      </c>
      <c r="G20" s="16">
        <f t="shared" si="1"/>
        <v>0.375</v>
      </c>
      <c r="H20" s="15">
        <v>3</v>
      </c>
      <c r="I20" s="16">
        <f t="shared" si="2"/>
        <v>0.375</v>
      </c>
      <c r="J20" s="15">
        <v>2</v>
      </c>
      <c r="K20" s="16">
        <f t="shared" si="3"/>
        <v>0.25</v>
      </c>
      <c r="L20" s="15">
        <v>1</v>
      </c>
      <c r="M20" s="16">
        <f t="shared" si="4"/>
        <v>0.125</v>
      </c>
      <c r="N20" s="15">
        <v>3</v>
      </c>
      <c r="O20" s="16">
        <f t="shared" si="5"/>
        <v>0.375</v>
      </c>
      <c r="P20" s="17">
        <v>3</v>
      </c>
      <c r="Q20" s="19">
        <f t="shared" si="6"/>
        <v>0.375</v>
      </c>
      <c r="S20" s="51">
        <f t="shared" si="7"/>
        <v>0.30357142857142855</v>
      </c>
    </row>
    <row r="21" spans="1:19" ht="15.75" x14ac:dyDescent="0.25">
      <c r="A21" s="18" t="s">
        <v>28</v>
      </c>
      <c r="B21" s="14">
        <v>173</v>
      </c>
      <c r="C21" s="14">
        <v>84</v>
      </c>
      <c r="D21" s="15">
        <v>31</v>
      </c>
      <c r="E21" s="16">
        <f t="shared" si="0"/>
        <v>0.36904761904761907</v>
      </c>
      <c r="F21" s="15">
        <v>32</v>
      </c>
      <c r="G21" s="16">
        <f t="shared" si="1"/>
        <v>0.38095238095238093</v>
      </c>
      <c r="H21" s="15">
        <v>29</v>
      </c>
      <c r="I21" s="16">
        <f t="shared" si="2"/>
        <v>0.34523809523809523</v>
      </c>
      <c r="J21" s="15">
        <v>38</v>
      </c>
      <c r="K21" s="16">
        <f t="shared" si="3"/>
        <v>0.45238095238095238</v>
      </c>
      <c r="L21" s="15">
        <v>39</v>
      </c>
      <c r="M21" s="16">
        <f t="shared" si="4"/>
        <v>0.4642857142857143</v>
      </c>
      <c r="N21" s="15">
        <v>39</v>
      </c>
      <c r="O21" s="16">
        <f t="shared" si="5"/>
        <v>0.4642857142857143</v>
      </c>
      <c r="P21" s="17">
        <v>29</v>
      </c>
      <c r="Q21" s="19">
        <f t="shared" si="6"/>
        <v>0.34523809523809523</v>
      </c>
      <c r="S21" s="51">
        <f t="shared" si="7"/>
        <v>0.40306122448979592</v>
      </c>
    </row>
    <row r="22" spans="1:19" ht="15.75" x14ac:dyDescent="0.25">
      <c r="A22" s="18" t="s">
        <v>29</v>
      </c>
      <c r="B22" s="14">
        <v>577</v>
      </c>
      <c r="C22" s="14">
        <v>233</v>
      </c>
      <c r="D22" s="15">
        <v>102</v>
      </c>
      <c r="E22" s="16">
        <f t="shared" si="0"/>
        <v>0.43776824034334766</v>
      </c>
      <c r="F22" s="15">
        <v>109</v>
      </c>
      <c r="G22" s="16">
        <f t="shared" si="1"/>
        <v>0.46781115879828328</v>
      </c>
      <c r="H22" s="15">
        <v>88</v>
      </c>
      <c r="I22" s="16">
        <f t="shared" si="2"/>
        <v>0.37768240343347642</v>
      </c>
      <c r="J22" s="15">
        <v>111</v>
      </c>
      <c r="K22" s="16">
        <f t="shared" si="3"/>
        <v>0.47639484978540775</v>
      </c>
      <c r="L22" s="15">
        <v>125</v>
      </c>
      <c r="M22" s="16">
        <f t="shared" si="4"/>
        <v>0.53648068669527893</v>
      </c>
      <c r="N22" s="15">
        <v>122</v>
      </c>
      <c r="O22" s="16">
        <f t="shared" si="5"/>
        <v>0.52360515021459231</v>
      </c>
      <c r="P22" s="17">
        <v>93</v>
      </c>
      <c r="Q22" s="19">
        <f t="shared" si="6"/>
        <v>0.39914163090128757</v>
      </c>
      <c r="S22" s="51">
        <f t="shared" si="7"/>
        <v>0.45984058859595339</v>
      </c>
    </row>
    <row r="23" spans="1:19" ht="15.75" x14ac:dyDescent="0.25">
      <c r="A23" s="18" t="s">
        <v>30</v>
      </c>
      <c r="B23" s="14">
        <v>394</v>
      </c>
      <c r="C23" s="14">
        <v>204</v>
      </c>
      <c r="D23" s="15">
        <v>76</v>
      </c>
      <c r="E23" s="16">
        <f t="shared" si="0"/>
        <v>0.37254901960784315</v>
      </c>
      <c r="F23" s="15">
        <v>86</v>
      </c>
      <c r="G23" s="16">
        <f t="shared" si="1"/>
        <v>0.42156862745098039</v>
      </c>
      <c r="H23" s="15">
        <v>74</v>
      </c>
      <c r="I23" s="16">
        <f t="shared" si="2"/>
        <v>0.36274509803921567</v>
      </c>
      <c r="J23" s="15">
        <v>97</v>
      </c>
      <c r="K23" s="16">
        <f t="shared" si="3"/>
        <v>0.47549019607843135</v>
      </c>
      <c r="L23" s="15">
        <v>104</v>
      </c>
      <c r="M23" s="16">
        <f t="shared" si="4"/>
        <v>0.50980392156862742</v>
      </c>
      <c r="N23" s="15">
        <v>107</v>
      </c>
      <c r="O23" s="16">
        <f t="shared" si="5"/>
        <v>0.52450980392156865</v>
      </c>
      <c r="P23" s="17">
        <v>84</v>
      </c>
      <c r="Q23" s="19">
        <f t="shared" si="6"/>
        <v>0.41176470588235292</v>
      </c>
      <c r="S23" s="51">
        <f t="shared" si="7"/>
        <v>0.43977591036414559</v>
      </c>
    </row>
    <row r="24" spans="1:19" ht="15.75" x14ac:dyDescent="0.25">
      <c r="A24" s="18" t="s">
        <v>51</v>
      </c>
      <c r="B24" s="14">
        <v>143</v>
      </c>
      <c r="C24" s="14">
        <v>143</v>
      </c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7"/>
      <c r="Q24" s="19"/>
      <c r="S24" s="51"/>
    </row>
    <row r="25" spans="1:19" ht="15.75" x14ac:dyDescent="0.25">
      <c r="A25" s="18" t="s">
        <v>31</v>
      </c>
      <c r="B25" s="14">
        <v>1400</v>
      </c>
      <c r="C25" s="14">
        <v>757</v>
      </c>
      <c r="D25" s="15">
        <v>383</v>
      </c>
      <c r="E25" s="16">
        <f t="shared" si="0"/>
        <v>0.50594451783355354</v>
      </c>
      <c r="F25" s="15">
        <v>433</v>
      </c>
      <c r="G25" s="16">
        <f t="shared" si="1"/>
        <v>0.57199471598414797</v>
      </c>
      <c r="H25" s="15">
        <v>341</v>
      </c>
      <c r="I25" s="16">
        <f t="shared" si="2"/>
        <v>0.45046235138705415</v>
      </c>
      <c r="J25" s="15">
        <v>411</v>
      </c>
      <c r="K25" s="16">
        <f t="shared" si="3"/>
        <v>0.5429326287978864</v>
      </c>
      <c r="L25" s="15">
        <v>472</v>
      </c>
      <c r="M25" s="16">
        <f t="shared" si="4"/>
        <v>0.62351387054161167</v>
      </c>
      <c r="N25" s="15">
        <v>465</v>
      </c>
      <c r="O25" s="16">
        <f t="shared" si="5"/>
        <v>0.61426684280052846</v>
      </c>
      <c r="P25" s="17">
        <v>349</v>
      </c>
      <c r="Q25" s="19">
        <f t="shared" si="6"/>
        <v>0.4610303830911493</v>
      </c>
      <c r="S25" s="51">
        <f t="shared" si="7"/>
        <v>0.53859218720513291</v>
      </c>
    </row>
    <row r="26" spans="1:19" ht="15.75" x14ac:dyDescent="0.25">
      <c r="A26" s="18" t="s">
        <v>50</v>
      </c>
      <c r="B26" s="14">
        <v>26</v>
      </c>
      <c r="C26" s="14">
        <v>0</v>
      </c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7"/>
      <c r="Q26" s="19"/>
      <c r="S26" s="51"/>
    </row>
    <row r="27" spans="1:19" ht="15.75" x14ac:dyDescent="0.25">
      <c r="A27" s="18" t="s">
        <v>25</v>
      </c>
      <c r="B27" s="14">
        <v>300</v>
      </c>
      <c r="C27" s="14">
        <v>149</v>
      </c>
      <c r="D27" s="15">
        <v>56</v>
      </c>
      <c r="E27" s="16">
        <f t="shared" si="0"/>
        <v>0.37583892617449666</v>
      </c>
      <c r="F27" s="15">
        <v>58</v>
      </c>
      <c r="G27" s="16">
        <f t="shared" si="1"/>
        <v>0.38926174496644295</v>
      </c>
      <c r="H27" s="15">
        <v>49</v>
      </c>
      <c r="I27" s="16">
        <f t="shared" si="2"/>
        <v>0.32885906040268459</v>
      </c>
      <c r="J27" s="15">
        <v>36</v>
      </c>
      <c r="K27" s="16">
        <f t="shared" si="3"/>
        <v>0.24161073825503357</v>
      </c>
      <c r="L27" s="15">
        <v>41</v>
      </c>
      <c r="M27" s="16">
        <f t="shared" si="4"/>
        <v>0.27516778523489932</v>
      </c>
      <c r="N27" s="15">
        <v>45</v>
      </c>
      <c r="O27" s="16">
        <f t="shared" si="5"/>
        <v>0.30201342281879195</v>
      </c>
      <c r="P27" s="17">
        <v>34</v>
      </c>
      <c r="Q27" s="19">
        <f t="shared" si="6"/>
        <v>0.22818791946308725</v>
      </c>
      <c r="S27" s="51">
        <f t="shared" si="7"/>
        <v>0.30584851390220519</v>
      </c>
    </row>
    <row r="28" spans="1:19" ht="33.75" customHeight="1" thickBot="1" x14ac:dyDescent="0.3">
      <c r="A28" s="2" t="s">
        <v>32</v>
      </c>
      <c r="B28" s="54">
        <f>SUM(B3:B27)</f>
        <v>36830</v>
      </c>
      <c r="C28" s="54">
        <f>SUM(C3:C27)</f>
        <v>19777</v>
      </c>
      <c r="D28" s="53">
        <f t="shared" ref="D28:L28" si="8">SUM(D3:D27)</f>
        <v>10318</v>
      </c>
      <c r="E28" s="20">
        <f>D28/C28</f>
        <v>0.52171714617990594</v>
      </c>
      <c r="F28" s="3">
        <f t="shared" si="8"/>
        <v>10978</v>
      </c>
      <c r="G28" s="20">
        <f t="shared" si="1"/>
        <v>0.55508924508267177</v>
      </c>
      <c r="H28" s="3">
        <f t="shared" si="8"/>
        <v>8615</v>
      </c>
      <c r="I28" s="20">
        <f t="shared" si="2"/>
        <v>0.43560701825352682</v>
      </c>
      <c r="J28" s="3">
        <f t="shared" si="8"/>
        <v>9415</v>
      </c>
      <c r="K28" s="20">
        <f t="shared" si="3"/>
        <v>0.47605804722657635</v>
      </c>
      <c r="L28" s="3">
        <f t="shared" si="8"/>
        <v>10897</v>
      </c>
      <c r="M28" s="20">
        <f t="shared" si="4"/>
        <v>0.55099357839915053</v>
      </c>
      <c r="N28" s="3">
        <f t="shared" ref="N28" si="9">SUM(N3:N27)</f>
        <v>11050</v>
      </c>
      <c r="O28" s="20">
        <f t="shared" si="5"/>
        <v>0.5587298376902462</v>
      </c>
      <c r="P28" s="13">
        <v>8542</v>
      </c>
      <c r="Q28" s="21">
        <f t="shared" si="6"/>
        <v>0.43191586185973607</v>
      </c>
      <c r="S28" s="52">
        <f>AVERAGE(S3:S27)</f>
        <v>0.47839470968476266</v>
      </c>
    </row>
    <row r="29" spans="1:19" ht="15.75" thickBot="1" x14ac:dyDescent="0.3">
      <c r="E29" s="10"/>
      <c r="K29" s="10"/>
    </row>
    <row r="30" spans="1:19" s="22" customFormat="1" ht="38.25" customHeight="1" x14ac:dyDescent="0.25">
      <c r="A30" s="24" t="s">
        <v>35</v>
      </c>
      <c r="B30" s="25">
        <f>AVERAGE(D28,F28,H28,J28,L28,N28,P28)</f>
        <v>9973.5714285714294</v>
      </c>
      <c r="D30" s="37"/>
      <c r="E30" s="37"/>
      <c r="F30" s="37"/>
      <c r="G30" s="37"/>
      <c r="H30" s="37"/>
      <c r="I30" s="37"/>
      <c r="J30" s="37"/>
      <c r="K30" s="23"/>
    </row>
    <row r="31" spans="1:19" s="22" customFormat="1" ht="35.25" customHeight="1" thickBot="1" x14ac:dyDescent="0.3">
      <c r="A31" s="26" t="s">
        <v>36</v>
      </c>
      <c r="B31" s="27">
        <f>AVERAGE(E28,G28,I28,K28,M28,O28,Q28)</f>
        <v>0.50430153352740192</v>
      </c>
      <c r="D31" s="37"/>
      <c r="E31" s="37"/>
      <c r="F31" s="37"/>
      <c r="G31" s="37"/>
      <c r="H31" s="37"/>
      <c r="I31" s="37"/>
      <c r="J31" s="37"/>
      <c r="K31" s="23"/>
    </row>
    <row r="33" spans="1:11" ht="15" customHeight="1" x14ac:dyDescent="0.25">
      <c r="A33" s="60" t="s">
        <v>37</v>
      </c>
      <c r="B33" s="60"/>
      <c r="C33" s="60"/>
      <c r="D33" s="37"/>
      <c r="E33" s="37"/>
      <c r="F33" s="37"/>
      <c r="G33" s="37"/>
    </row>
    <row r="34" spans="1:11" ht="15" customHeight="1" x14ac:dyDescent="0.25">
      <c r="A34" s="60"/>
      <c r="B34" s="60"/>
      <c r="C34" s="60"/>
      <c r="D34" s="37"/>
      <c r="E34" s="37"/>
      <c r="F34" s="37"/>
      <c r="G34" s="37"/>
    </row>
    <row r="37" spans="1:11" x14ac:dyDescent="0.25">
      <c r="E37" s="10"/>
      <c r="K37" s="10"/>
    </row>
    <row r="38" spans="1:11" x14ac:dyDescent="0.25">
      <c r="E38" s="10"/>
      <c r="K38" s="10"/>
    </row>
    <row r="39" spans="1:11" x14ac:dyDescent="0.25">
      <c r="E39" s="10"/>
      <c r="K39" s="10"/>
    </row>
    <row r="40" spans="1:11" x14ac:dyDescent="0.25">
      <c r="E40" s="10"/>
      <c r="K40" s="10"/>
    </row>
    <row r="41" spans="1:11" x14ac:dyDescent="0.25">
      <c r="E41" s="10"/>
      <c r="K41" s="10"/>
    </row>
    <row r="42" spans="1:11" x14ac:dyDescent="0.25">
      <c r="E42" s="10"/>
      <c r="K42" s="10"/>
    </row>
    <row r="43" spans="1:11" x14ac:dyDescent="0.25">
      <c r="E43" s="10"/>
      <c r="K43" s="10"/>
    </row>
    <row r="44" spans="1:11" x14ac:dyDescent="0.25">
      <c r="E44" s="10"/>
      <c r="K44" s="10"/>
    </row>
    <row r="45" spans="1:11" x14ac:dyDescent="0.25">
      <c r="E45" s="10"/>
      <c r="K45" s="10"/>
    </row>
    <row r="46" spans="1:11" x14ac:dyDescent="0.25">
      <c r="E46" s="10"/>
      <c r="K46" s="10"/>
    </row>
    <row r="47" spans="1:11" x14ac:dyDescent="0.25">
      <c r="E47" s="10"/>
      <c r="K47" s="10"/>
    </row>
    <row r="48" spans="1:11" x14ac:dyDescent="0.25">
      <c r="E48" s="10"/>
      <c r="K48" s="10"/>
    </row>
    <row r="49" spans="5:11" x14ac:dyDescent="0.25">
      <c r="E49" s="10"/>
      <c r="K49" s="10"/>
    </row>
    <row r="50" spans="5:11" x14ac:dyDescent="0.25">
      <c r="E50" s="10"/>
      <c r="K50" s="10"/>
    </row>
  </sheetData>
  <mergeCells count="2">
    <mergeCell ref="A1:Q1"/>
    <mergeCell ref="A33:C34"/>
  </mergeCells>
  <phoneticPr fontId="3" type="noConversion"/>
  <pageMargins left="0.511811024" right="0.511811024" top="0.78740157499999996" bottom="0.78740157499999996" header="0.31496062000000002" footer="0.31496062000000002"/>
  <pageSetup paperSize="9" fitToHeight="0" orientation="portrait" verticalDpi="0" r:id="rId1"/>
  <ignoredErrors>
    <ignoredError sqref="G28 I28 K28 M28 E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0EBD-EADF-4431-8AAE-CD35D957A3AC}">
  <dimension ref="A1:S50"/>
  <sheetViews>
    <sheetView tabSelected="1" workbookViewId="0">
      <selection activeCell="A3" sqref="A3:A27"/>
    </sheetView>
  </sheetViews>
  <sheetFormatPr defaultRowHeight="15" x14ac:dyDescent="0.25"/>
  <cols>
    <col min="1" max="1" width="26.42578125" style="1" bestFit="1" customWidth="1"/>
    <col min="2" max="2" width="18.42578125" style="1" customWidth="1"/>
    <col min="3" max="3" width="17.85546875" style="1" customWidth="1"/>
    <col min="4" max="4" width="11.28515625" style="1" customWidth="1"/>
    <col min="5" max="5" width="8.5703125" style="11" customWidth="1"/>
    <col min="6" max="6" width="11.28515625" style="1" customWidth="1"/>
    <col min="7" max="7" width="6.7109375" style="1" customWidth="1"/>
    <col min="8" max="8" width="11.28515625" style="1" customWidth="1"/>
    <col min="9" max="9" width="8.5703125" style="1" customWidth="1"/>
    <col min="10" max="10" width="11.28515625" style="1" customWidth="1"/>
    <col min="11" max="11" width="7.85546875" style="11" customWidth="1"/>
    <col min="12" max="12" width="11.28515625" style="1" customWidth="1"/>
    <col min="13" max="13" width="7.85546875" style="1" customWidth="1"/>
    <col min="14" max="14" width="11.28515625" style="1" customWidth="1"/>
    <col min="15" max="15" width="8.5703125" style="1" customWidth="1"/>
    <col min="16" max="17" width="11.28515625" style="1" customWidth="1"/>
    <col min="18" max="18" width="9.140625" style="1"/>
    <col min="19" max="19" width="13.42578125" style="1" bestFit="1" customWidth="1"/>
    <col min="20" max="16384" width="9.140625" style="1"/>
  </cols>
  <sheetData>
    <row r="1" spans="1:19" ht="32.25" customHeight="1" thickBot="1" x14ac:dyDescent="0.3">
      <c r="A1" s="55" t="s">
        <v>0</v>
      </c>
      <c r="B1" s="5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58"/>
      <c r="Q1" s="59"/>
    </row>
    <row r="2" spans="1:19" ht="31.5" customHeight="1" thickBot="1" x14ac:dyDescent="0.3">
      <c r="A2" s="4"/>
      <c r="B2" s="5" t="s">
        <v>52</v>
      </c>
      <c r="C2" s="5" t="s">
        <v>53</v>
      </c>
      <c r="D2" s="6" t="s">
        <v>43</v>
      </c>
      <c r="E2" s="9" t="s">
        <v>33</v>
      </c>
      <c r="F2" s="6" t="s">
        <v>44</v>
      </c>
      <c r="G2" s="6" t="s">
        <v>33</v>
      </c>
      <c r="H2" s="6" t="s">
        <v>45</v>
      </c>
      <c r="I2" s="6" t="s">
        <v>33</v>
      </c>
      <c r="J2" s="6" t="s">
        <v>46</v>
      </c>
      <c r="K2" s="9" t="s">
        <v>33</v>
      </c>
      <c r="L2" s="6" t="s">
        <v>47</v>
      </c>
      <c r="M2" s="6" t="s">
        <v>33</v>
      </c>
      <c r="N2" s="6" t="s">
        <v>48</v>
      </c>
      <c r="O2" s="8" t="s">
        <v>33</v>
      </c>
      <c r="P2" s="12" t="s">
        <v>49</v>
      </c>
      <c r="Q2" s="7" t="s">
        <v>33</v>
      </c>
      <c r="S2" s="32" t="s">
        <v>39</v>
      </c>
    </row>
    <row r="3" spans="1:19" ht="15.75" x14ac:dyDescent="0.25">
      <c r="A3" s="18" t="s">
        <v>8</v>
      </c>
      <c r="B3" s="14">
        <v>3700</v>
      </c>
      <c r="C3" s="14">
        <v>2368</v>
      </c>
      <c r="D3" s="15">
        <v>849</v>
      </c>
      <c r="E3" s="16">
        <f>D3/C3</f>
        <v>0.35853040540540543</v>
      </c>
      <c r="F3" s="15">
        <v>1002</v>
      </c>
      <c r="G3" s="16">
        <f t="shared" ref="G3:G27" si="0">F3/C3</f>
        <v>0.42314189189189189</v>
      </c>
      <c r="H3" s="15">
        <v>927</v>
      </c>
      <c r="I3" s="16">
        <f t="shared" ref="I3:I27" si="1">H3/C3</f>
        <v>0.39146959459459457</v>
      </c>
      <c r="J3" s="15">
        <v>757</v>
      </c>
      <c r="K3" s="16">
        <f t="shared" ref="K3:K27" si="2">J3/C3</f>
        <v>0.31967905405405406</v>
      </c>
      <c r="L3" s="15">
        <v>977</v>
      </c>
      <c r="M3" s="16">
        <f t="shared" ref="M3:M27" si="3">L3/C3</f>
        <v>0.41258445945945948</v>
      </c>
      <c r="N3" s="15">
        <v>962</v>
      </c>
      <c r="O3" s="16">
        <f t="shared" ref="O3:O27" si="4">N3/C3</f>
        <v>0.40625</v>
      </c>
      <c r="P3" s="17">
        <v>603</v>
      </c>
      <c r="Q3" s="19">
        <f t="shared" ref="Q3:Q27" si="5">P3/C3</f>
        <v>0.25464527027027029</v>
      </c>
      <c r="S3" s="50">
        <f t="shared" ref="S3:S27" si="6">AVERAGE(E3,G3,I3,K3,M3,O3,Q3)</f>
        <v>0.3666143822393822</v>
      </c>
    </row>
    <row r="4" spans="1:19" ht="15.75" x14ac:dyDescent="0.25">
      <c r="A4" s="18" t="s">
        <v>17</v>
      </c>
      <c r="B4" s="14">
        <v>1800</v>
      </c>
      <c r="C4" s="14">
        <v>1544</v>
      </c>
      <c r="D4" s="15">
        <v>328</v>
      </c>
      <c r="E4" s="16">
        <f t="shared" ref="E4:E27" si="7">D4/C4</f>
        <v>0.21243523316062177</v>
      </c>
      <c r="F4" s="15">
        <v>382</v>
      </c>
      <c r="G4" s="16">
        <f t="shared" si="0"/>
        <v>0.24740932642487046</v>
      </c>
      <c r="H4" s="15">
        <v>370</v>
      </c>
      <c r="I4" s="16">
        <f t="shared" si="1"/>
        <v>0.23963730569948186</v>
      </c>
      <c r="J4" s="15">
        <v>307</v>
      </c>
      <c r="K4" s="16">
        <f t="shared" si="2"/>
        <v>0.19883419689119172</v>
      </c>
      <c r="L4" s="15">
        <v>395</v>
      </c>
      <c r="M4" s="16">
        <f t="shared" si="3"/>
        <v>0.25582901554404147</v>
      </c>
      <c r="N4" s="15">
        <v>413</v>
      </c>
      <c r="O4" s="16">
        <f t="shared" si="4"/>
        <v>0.26748704663212436</v>
      </c>
      <c r="P4" s="17">
        <v>350</v>
      </c>
      <c r="Q4" s="19">
        <f t="shared" si="5"/>
        <v>0.2266839378238342</v>
      </c>
      <c r="S4" s="51">
        <f t="shared" si="6"/>
        <v>0.2354737231680237</v>
      </c>
    </row>
    <row r="5" spans="1:19" ht="15.75" x14ac:dyDescent="0.25">
      <c r="A5" s="18" t="s">
        <v>30</v>
      </c>
      <c r="B5" s="14">
        <v>394</v>
      </c>
      <c r="C5" s="14">
        <v>315</v>
      </c>
      <c r="D5" s="15">
        <v>53</v>
      </c>
      <c r="E5" s="16">
        <f t="shared" si="7"/>
        <v>0.16825396825396827</v>
      </c>
      <c r="F5" s="15">
        <v>60</v>
      </c>
      <c r="G5" s="16">
        <f t="shared" si="0"/>
        <v>0.19047619047619047</v>
      </c>
      <c r="H5" s="15">
        <v>58</v>
      </c>
      <c r="I5" s="16">
        <f t="shared" si="1"/>
        <v>0.18412698412698414</v>
      </c>
      <c r="J5" s="15">
        <v>48</v>
      </c>
      <c r="K5" s="16">
        <f t="shared" si="2"/>
        <v>0.15238095238095239</v>
      </c>
      <c r="L5" s="15">
        <v>58</v>
      </c>
      <c r="M5" s="16">
        <f t="shared" si="3"/>
        <v>0.18412698412698414</v>
      </c>
      <c r="N5" s="15">
        <v>60</v>
      </c>
      <c r="O5" s="16">
        <f t="shared" si="4"/>
        <v>0.19047619047619047</v>
      </c>
      <c r="P5" s="17">
        <v>52</v>
      </c>
      <c r="Q5" s="19">
        <f t="shared" si="5"/>
        <v>0.16507936507936508</v>
      </c>
      <c r="S5" s="51">
        <f t="shared" si="6"/>
        <v>0.17641723356009073</v>
      </c>
    </row>
    <row r="6" spans="1:19" ht="15.75" x14ac:dyDescent="0.25">
      <c r="A6" s="18" t="s">
        <v>14</v>
      </c>
      <c r="B6" s="14">
        <v>1700</v>
      </c>
      <c r="C6" s="14">
        <v>2775</v>
      </c>
      <c r="D6" s="15">
        <v>386</v>
      </c>
      <c r="E6" s="16">
        <f t="shared" si="7"/>
        <v>0.13909909909909909</v>
      </c>
      <c r="F6" s="15">
        <v>468</v>
      </c>
      <c r="G6" s="16">
        <f t="shared" si="0"/>
        <v>0.16864864864864865</v>
      </c>
      <c r="H6" s="15">
        <v>469</v>
      </c>
      <c r="I6" s="16">
        <f t="shared" si="1"/>
        <v>0.169009009009009</v>
      </c>
      <c r="J6" s="15">
        <v>392</v>
      </c>
      <c r="K6" s="16">
        <f t="shared" si="2"/>
        <v>0.14126126126126126</v>
      </c>
      <c r="L6" s="15">
        <v>493</v>
      </c>
      <c r="M6" s="16">
        <f t="shared" si="3"/>
        <v>0.17765765765765765</v>
      </c>
      <c r="N6" s="15">
        <v>500</v>
      </c>
      <c r="O6" s="16">
        <f t="shared" si="4"/>
        <v>0.18018018018018017</v>
      </c>
      <c r="P6" s="17">
        <v>414</v>
      </c>
      <c r="Q6" s="19">
        <f t="shared" si="5"/>
        <v>0.14918918918918919</v>
      </c>
      <c r="S6" s="51">
        <f t="shared" si="6"/>
        <v>0.16072072072072069</v>
      </c>
    </row>
    <row r="7" spans="1:19" ht="15.75" x14ac:dyDescent="0.25">
      <c r="A7" s="18" t="s">
        <v>9</v>
      </c>
      <c r="B7" s="14">
        <v>13500</v>
      </c>
      <c r="C7" s="14">
        <v>12685</v>
      </c>
      <c r="D7" s="15">
        <v>2626</v>
      </c>
      <c r="E7" s="16">
        <f t="shared" si="7"/>
        <v>0.20701616081986599</v>
      </c>
      <c r="F7" s="15">
        <v>2998</v>
      </c>
      <c r="G7" s="16">
        <f t="shared" si="0"/>
        <v>0.23634213638155302</v>
      </c>
      <c r="H7" s="15">
        <v>2958</v>
      </c>
      <c r="I7" s="16">
        <f t="shared" si="1"/>
        <v>0.23318880567599526</v>
      </c>
      <c r="J7" s="15">
        <v>2526</v>
      </c>
      <c r="K7" s="16">
        <f t="shared" si="2"/>
        <v>0.19913283405597162</v>
      </c>
      <c r="L7" s="15">
        <v>2947</v>
      </c>
      <c r="M7" s="16">
        <f t="shared" si="3"/>
        <v>0.2323216397319669</v>
      </c>
      <c r="N7" s="15">
        <v>2968</v>
      </c>
      <c r="O7" s="16">
        <f t="shared" si="4"/>
        <v>0.23397713835238471</v>
      </c>
      <c r="P7" s="17">
        <v>2469</v>
      </c>
      <c r="Q7" s="19">
        <f t="shared" si="5"/>
        <v>0.19463933780055184</v>
      </c>
      <c r="S7" s="51">
        <f t="shared" si="6"/>
        <v>0.21951686468832704</v>
      </c>
    </row>
    <row r="8" spans="1:19" ht="15.75" x14ac:dyDescent="0.25">
      <c r="A8" s="18" t="s">
        <v>16</v>
      </c>
      <c r="B8" s="14">
        <v>996</v>
      </c>
      <c r="C8" s="14">
        <v>778</v>
      </c>
      <c r="D8" s="15">
        <v>159</v>
      </c>
      <c r="E8" s="16">
        <f t="shared" si="7"/>
        <v>0.20437017994858611</v>
      </c>
      <c r="F8" s="15">
        <v>182</v>
      </c>
      <c r="G8" s="16">
        <f t="shared" si="0"/>
        <v>0.23393316195372751</v>
      </c>
      <c r="H8" s="15">
        <v>183</v>
      </c>
      <c r="I8" s="16">
        <f t="shared" si="1"/>
        <v>0.2352185089974293</v>
      </c>
      <c r="J8" s="15">
        <v>157</v>
      </c>
      <c r="K8" s="16">
        <f t="shared" si="2"/>
        <v>0.20179948586118251</v>
      </c>
      <c r="L8" s="15">
        <v>185</v>
      </c>
      <c r="M8" s="16">
        <f t="shared" si="3"/>
        <v>0.2377892030848329</v>
      </c>
      <c r="N8" s="15">
        <v>183</v>
      </c>
      <c r="O8" s="16">
        <f t="shared" si="4"/>
        <v>0.2352185089974293</v>
      </c>
      <c r="P8" s="17">
        <v>157</v>
      </c>
      <c r="Q8" s="19">
        <f t="shared" si="5"/>
        <v>0.20179948586118251</v>
      </c>
      <c r="S8" s="51">
        <f t="shared" si="6"/>
        <v>0.22144693352919573</v>
      </c>
    </row>
    <row r="9" spans="1:19" ht="15.75" x14ac:dyDescent="0.25">
      <c r="A9" s="18" t="s">
        <v>24</v>
      </c>
      <c r="B9" s="14">
        <v>220</v>
      </c>
      <c r="C9" s="14">
        <v>115</v>
      </c>
      <c r="D9" s="15">
        <v>25</v>
      </c>
      <c r="E9" s="16">
        <f t="shared" si="7"/>
        <v>0.21739130434782608</v>
      </c>
      <c r="F9" s="15">
        <v>29</v>
      </c>
      <c r="G9" s="16">
        <f t="shared" si="0"/>
        <v>0.25217391304347825</v>
      </c>
      <c r="H9" s="15">
        <v>28</v>
      </c>
      <c r="I9" s="16">
        <f t="shared" si="1"/>
        <v>0.24347826086956523</v>
      </c>
      <c r="J9" s="15">
        <v>27</v>
      </c>
      <c r="K9" s="16">
        <f t="shared" si="2"/>
        <v>0.23478260869565218</v>
      </c>
      <c r="L9" s="15">
        <v>24</v>
      </c>
      <c r="M9" s="16">
        <f t="shared" si="3"/>
        <v>0.20869565217391303</v>
      </c>
      <c r="N9" s="15">
        <v>25</v>
      </c>
      <c r="O9" s="16">
        <f t="shared" si="4"/>
        <v>0.21739130434782608</v>
      </c>
      <c r="P9" s="17">
        <v>24</v>
      </c>
      <c r="Q9" s="19">
        <f t="shared" si="5"/>
        <v>0.20869565217391303</v>
      </c>
      <c r="S9" s="51">
        <f t="shared" si="6"/>
        <v>0.22608695652173913</v>
      </c>
    </row>
    <row r="10" spans="1:19" ht="15.75" x14ac:dyDescent="0.25">
      <c r="A10" s="18" t="s">
        <v>15</v>
      </c>
      <c r="B10" s="14">
        <v>346</v>
      </c>
      <c r="C10" s="14">
        <v>301</v>
      </c>
      <c r="D10" s="15">
        <v>72</v>
      </c>
      <c r="E10" s="16">
        <f t="shared" si="7"/>
        <v>0.23920265780730898</v>
      </c>
      <c r="F10" s="15">
        <v>77</v>
      </c>
      <c r="G10" s="16">
        <f t="shared" si="0"/>
        <v>0.2558139534883721</v>
      </c>
      <c r="H10" s="15">
        <v>78</v>
      </c>
      <c r="I10" s="16">
        <f t="shared" si="1"/>
        <v>0.25913621262458469</v>
      </c>
      <c r="J10" s="15">
        <v>71</v>
      </c>
      <c r="K10" s="16">
        <f t="shared" si="2"/>
        <v>0.23588039867109634</v>
      </c>
      <c r="L10" s="15">
        <v>82</v>
      </c>
      <c r="M10" s="16">
        <f t="shared" si="3"/>
        <v>0.27242524916943522</v>
      </c>
      <c r="N10" s="15">
        <v>79</v>
      </c>
      <c r="O10" s="16">
        <f t="shared" si="4"/>
        <v>0.26245847176079734</v>
      </c>
      <c r="P10" s="17">
        <v>63</v>
      </c>
      <c r="Q10" s="19">
        <f t="shared" si="5"/>
        <v>0.20930232558139536</v>
      </c>
      <c r="S10" s="51">
        <f t="shared" si="6"/>
        <v>0.2477456098718557</v>
      </c>
    </row>
    <row r="11" spans="1:19" ht="15.75" x14ac:dyDescent="0.25">
      <c r="A11" s="18" t="s">
        <v>23</v>
      </c>
      <c r="B11" s="14">
        <v>205</v>
      </c>
      <c r="C11" s="14">
        <v>122</v>
      </c>
      <c r="D11" s="15">
        <v>27</v>
      </c>
      <c r="E11" s="16">
        <f t="shared" si="7"/>
        <v>0.22131147540983606</v>
      </c>
      <c r="F11" s="15">
        <v>27</v>
      </c>
      <c r="G11" s="16">
        <f t="shared" si="0"/>
        <v>0.22131147540983606</v>
      </c>
      <c r="H11" s="15">
        <v>28</v>
      </c>
      <c r="I11" s="16">
        <f t="shared" si="1"/>
        <v>0.22950819672131148</v>
      </c>
      <c r="J11" s="15">
        <v>20</v>
      </c>
      <c r="K11" s="16">
        <f t="shared" si="2"/>
        <v>0.16393442622950818</v>
      </c>
      <c r="L11" s="15">
        <v>18</v>
      </c>
      <c r="M11" s="16">
        <f t="shared" si="3"/>
        <v>0.14754098360655737</v>
      </c>
      <c r="N11" s="15">
        <v>20</v>
      </c>
      <c r="O11" s="16">
        <f t="shared" si="4"/>
        <v>0.16393442622950818</v>
      </c>
      <c r="P11" s="17">
        <v>17</v>
      </c>
      <c r="Q11" s="19">
        <f t="shared" si="5"/>
        <v>0.13934426229508196</v>
      </c>
      <c r="S11" s="51">
        <f t="shared" si="6"/>
        <v>0.18384074941451992</v>
      </c>
    </row>
    <row r="12" spans="1:19" ht="15.75" x14ac:dyDescent="0.25">
      <c r="A12" s="18" t="s">
        <v>10</v>
      </c>
      <c r="B12" s="14">
        <v>4300</v>
      </c>
      <c r="C12" s="14">
        <v>3107</v>
      </c>
      <c r="D12" s="15">
        <v>622</v>
      </c>
      <c r="E12" s="16">
        <f t="shared" si="7"/>
        <v>0.20019311232700354</v>
      </c>
      <c r="F12" s="15">
        <v>722</v>
      </c>
      <c r="G12" s="16">
        <f t="shared" si="0"/>
        <v>0.23237850016092693</v>
      </c>
      <c r="H12" s="15">
        <v>714</v>
      </c>
      <c r="I12" s="16">
        <f t="shared" si="1"/>
        <v>0.22980366913421307</v>
      </c>
      <c r="J12" s="15">
        <v>637</v>
      </c>
      <c r="K12" s="16">
        <f t="shared" si="2"/>
        <v>0.20502092050209206</v>
      </c>
      <c r="L12" s="15">
        <v>542</v>
      </c>
      <c r="M12" s="16">
        <f t="shared" si="3"/>
        <v>0.17444480205986482</v>
      </c>
      <c r="N12" s="15">
        <v>633</v>
      </c>
      <c r="O12" s="16">
        <f t="shared" si="4"/>
        <v>0.2037335049887351</v>
      </c>
      <c r="P12" s="17">
        <v>540</v>
      </c>
      <c r="Q12" s="19">
        <f t="shared" si="5"/>
        <v>0.17380109430318635</v>
      </c>
      <c r="S12" s="51">
        <f t="shared" si="6"/>
        <v>0.20276794335371737</v>
      </c>
    </row>
    <row r="13" spans="1:19" ht="15.75" x14ac:dyDescent="0.25">
      <c r="A13" s="18" t="s">
        <v>20</v>
      </c>
      <c r="B13" s="14">
        <v>211</v>
      </c>
      <c r="C13" s="14">
        <v>136</v>
      </c>
      <c r="D13" s="15">
        <v>21</v>
      </c>
      <c r="E13" s="16">
        <f t="shared" si="7"/>
        <v>0.15441176470588236</v>
      </c>
      <c r="F13" s="15">
        <v>23</v>
      </c>
      <c r="G13" s="16">
        <f t="shared" si="0"/>
        <v>0.16911764705882354</v>
      </c>
      <c r="H13" s="15">
        <v>23</v>
      </c>
      <c r="I13" s="16">
        <f t="shared" si="1"/>
        <v>0.16911764705882354</v>
      </c>
      <c r="J13" s="15">
        <v>20</v>
      </c>
      <c r="K13" s="16">
        <f t="shared" si="2"/>
        <v>0.14705882352941177</v>
      </c>
      <c r="L13" s="15">
        <v>18</v>
      </c>
      <c r="M13" s="16">
        <f t="shared" si="3"/>
        <v>0.13235294117647059</v>
      </c>
      <c r="N13" s="15">
        <v>19</v>
      </c>
      <c r="O13" s="16">
        <f t="shared" si="4"/>
        <v>0.13970588235294118</v>
      </c>
      <c r="P13" s="17">
        <v>18</v>
      </c>
      <c r="Q13" s="19">
        <f t="shared" si="5"/>
        <v>0.13235294117647059</v>
      </c>
      <c r="S13" s="51">
        <f t="shared" si="6"/>
        <v>0.14915966386554622</v>
      </c>
    </row>
    <row r="14" spans="1:19" ht="15.75" x14ac:dyDescent="0.25">
      <c r="A14" s="18" t="s">
        <v>18</v>
      </c>
      <c r="B14" s="14">
        <v>115</v>
      </c>
      <c r="C14" s="14">
        <v>60</v>
      </c>
      <c r="D14" s="15">
        <v>12</v>
      </c>
      <c r="E14" s="16">
        <f t="shared" si="7"/>
        <v>0.2</v>
      </c>
      <c r="F14" s="15">
        <v>13</v>
      </c>
      <c r="G14" s="16">
        <f t="shared" si="0"/>
        <v>0.21666666666666667</v>
      </c>
      <c r="H14" s="15">
        <v>13</v>
      </c>
      <c r="I14" s="16">
        <f t="shared" si="1"/>
        <v>0.21666666666666667</v>
      </c>
      <c r="J14" s="15">
        <v>8</v>
      </c>
      <c r="K14" s="16">
        <f t="shared" si="2"/>
        <v>0.13333333333333333</v>
      </c>
      <c r="L14" s="15">
        <v>13</v>
      </c>
      <c r="M14" s="16">
        <f t="shared" si="3"/>
        <v>0.21666666666666667</v>
      </c>
      <c r="N14" s="15">
        <v>12</v>
      </c>
      <c r="O14" s="16">
        <f t="shared" si="4"/>
        <v>0.2</v>
      </c>
      <c r="P14" s="17">
        <v>8</v>
      </c>
      <c r="Q14" s="19">
        <f t="shared" si="5"/>
        <v>0.13333333333333333</v>
      </c>
      <c r="S14" s="51">
        <f t="shared" si="6"/>
        <v>0.18809523809523809</v>
      </c>
    </row>
    <row r="15" spans="1:19" ht="15.75" x14ac:dyDescent="0.25">
      <c r="A15" s="18" t="s">
        <v>21</v>
      </c>
      <c r="B15" s="14">
        <v>237</v>
      </c>
      <c r="C15" s="14">
        <v>136</v>
      </c>
      <c r="D15" s="15">
        <v>12</v>
      </c>
      <c r="E15" s="16">
        <f t="shared" si="7"/>
        <v>8.8235294117647065E-2</v>
      </c>
      <c r="F15" s="15">
        <v>14</v>
      </c>
      <c r="G15" s="16">
        <f t="shared" si="0"/>
        <v>0.10294117647058823</v>
      </c>
      <c r="H15" s="15">
        <v>16</v>
      </c>
      <c r="I15" s="16">
        <f t="shared" si="1"/>
        <v>0.11764705882352941</v>
      </c>
      <c r="J15" s="15">
        <v>14</v>
      </c>
      <c r="K15" s="16">
        <f t="shared" si="2"/>
        <v>0.10294117647058823</v>
      </c>
      <c r="L15" s="15">
        <v>13</v>
      </c>
      <c r="M15" s="16">
        <f t="shared" si="3"/>
        <v>9.5588235294117641E-2</v>
      </c>
      <c r="N15" s="15">
        <v>14</v>
      </c>
      <c r="O15" s="16">
        <f t="shared" si="4"/>
        <v>0.10294117647058823</v>
      </c>
      <c r="P15" s="17">
        <v>13</v>
      </c>
      <c r="Q15" s="19">
        <f t="shared" si="5"/>
        <v>9.5588235294117641E-2</v>
      </c>
      <c r="S15" s="51">
        <f t="shared" si="6"/>
        <v>0.10084033613445377</v>
      </c>
    </row>
    <row r="16" spans="1:19" ht="15.75" x14ac:dyDescent="0.25">
      <c r="A16" s="18" t="s">
        <v>31</v>
      </c>
      <c r="B16" s="14">
        <v>1400</v>
      </c>
      <c r="C16" s="14">
        <v>1773</v>
      </c>
      <c r="D16" s="15">
        <v>257</v>
      </c>
      <c r="E16" s="16">
        <f t="shared" si="7"/>
        <v>0.14495205865764241</v>
      </c>
      <c r="F16" s="15">
        <v>317</v>
      </c>
      <c r="G16" s="16">
        <f t="shared" si="0"/>
        <v>0.17879300620417371</v>
      </c>
      <c r="H16" s="15">
        <v>312</v>
      </c>
      <c r="I16" s="16">
        <f t="shared" si="1"/>
        <v>0.17597292724196278</v>
      </c>
      <c r="J16" s="15">
        <v>264</v>
      </c>
      <c r="K16" s="16">
        <f t="shared" si="2"/>
        <v>0.14890016920473773</v>
      </c>
      <c r="L16" s="15">
        <v>315</v>
      </c>
      <c r="M16" s="16">
        <f t="shared" si="3"/>
        <v>0.17766497461928935</v>
      </c>
      <c r="N16" s="15">
        <v>314</v>
      </c>
      <c r="O16" s="16">
        <f t="shared" si="4"/>
        <v>0.17710095882684715</v>
      </c>
      <c r="P16" s="17">
        <v>255</v>
      </c>
      <c r="Q16" s="19">
        <f t="shared" si="5"/>
        <v>0.14382402707275804</v>
      </c>
      <c r="S16" s="51">
        <f t="shared" si="6"/>
        <v>0.163886874546773</v>
      </c>
    </row>
    <row r="17" spans="1:19" ht="15.75" x14ac:dyDescent="0.25">
      <c r="A17" s="18" t="s">
        <v>29</v>
      </c>
      <c r="B17" s="14">
        <v>577</v>
      </c>
      <c r="C17" s="14">
        <v>382</v>
      </c>
      <c r="D17" s="15">
        <v>61</v>
      </c>
      <c r="E17" s="16">
        <f t="shared" si="7"/>
        <v>0.15968586387434555</v>
      </c>
      <c r="F17" s="15">
        <v>69</v>
      </c>
      <c r="G17" s="16">
        <f t="shared" si="0"/>
        <v>0.1806282722513089</v>
      </c>
      <c r="H17" s="15">
        <v>64</v>
      </c>
      <c r="I17" s="16">
        <f t="shared" si="1"/>
        <v>0.16753926701570682</v>
      </c>
      <c r="J17" s="15">
        <v>57</v>
      </c>
      <c r="K17" s="16">
        <f t="shared" si="2"/>
        <v>0.14921465968586387</v>
      </c>
      <c r="L17" s="15">
        <v>78</v>
      </c>
      <c r="M17" s="16">
        <f t="shared" si="3"/>
        <v>0.20418848167539266</v>
      </c>
      <c r="N17" s="15">
        <v>76</v>
      </c>
      <c r="O17" s="16">
        <f t="shared" si="4"/>
        <v>0.19895287958115182</v>
      </c>
      <c r="P17" s="17">
        <v>68</v>
      </c>
      <c r="Q17" s="19">
        <f t="shared" si="5"/>
        <v>0.17801047120418848</v>
      </c>
      <c r="S17" s="51">
        <f t="shared" si="6"/>
        <v>0.17688855646970833</v>
      </c>
    </row>
    <row r="18" spans="1:19" ht="15.75" x14ac:dyDescent="0.25">
      <c r="A18" s="18" t="s">
        <v>22</v>
      </c>
      <c r="B18" s="14">
        <v>2000</v>
      </c>
      <c r="C18" s="14">
        <v>1484</v>
      </c>
      <c r="D18" s="15">
        <v>268</v>
      </c>
      <c r="E18" s="16">
        <f t="shared" si="7"/>
        <v>0.18059299191374664</v>
      </c>
      <c r="F18" s="15">
        <v>307</v>
      </c>
      <c r="G18" s="16">
        <f t="shared" si="0"/>
        <v>0.2068733153638814</v>
      </c>
      <c r="H18" s="15">
        <v>313</v>
      </c>
      <c r="I18" s="16">
        <f t="shared" si="1"/>
        <v>0.21091644204851753</v>
      </c>
      <c r="J18" s="15">
        <v>267</v>
      </c>
      <c r="K18" s="16">
        <f t="shared" si="2"/>
        <v>0.17991913746630728</v>
      </c>
      <c r="L18" s="15">
        <v>220</v>
      </c>
      <c r="M18" s="16">
        <f t="shared" si="3"/>
        <v>0.14824797843665768</v>
      </c>
      <c r="N18" s="15">
        <v>230</v>
      </c>
      <c r="O18" s="16">
        <f t="shared" si="4"/>
        <v>0.15498652291105122</v>
      </c>
      <c r="P18" s="17">
        <v>192</v>
      </c>
      <c r="Q18" s="19">
        <f t="shared" si="5"/>
        <v>0.1293800539083558</v>
      </c>
      <c r="S18" s="51">
        <f t="shared" si="6"/>
        <v>0.17298806314978823</v>
      </c>
    </row>
    <row r="19" spans="1:19" ht="15.75" x14ac:dyDescent="0.25">
      <c r="A19" s="18" t="s">
        <v>27</v>
      </c>
      <c r="B19" s="14">
        <v>929</v>
      </c>
      <c r="C19" s="14">
        <v>735</v>
      </c>
      <c r="D19" s="15">
        <v>153</v>
      </c>
      <c r="E19" s="16">
        <f t="shared" si="7"/>
        <v>0.20816326530612245</v>
      </c>
      <c r="F19" s="15">
        <v>167</v>
      </c>
      <c r="G19" s="16">
        <f t="shared" si="0"/>
        <v>0.22721088435374151</v>
      </c>
      <c r="H19" s="15">
        <v>174</v>
      </c>
      <c r="I19" s="16">
        <f t="shared" si="1"/>
        <v>0.23673469387755103</v>
      </c>
      <c r="J19" s="15">
        <v>158</v>
      </c>
      <c r="K19" s="16">
        <f t="shared" si="2"/>
        <v>0.21496598639455783</v>
      </c>
      <c r="L19" s="15">
        <v>174</v>
      </c>
      <c r="M19" s="16">
        <f t="shared" si="3"/>
        <v>0.23673469387755103</v>
      </c>
      <c r="N19" s="15">
        <v>171</v>
      </c>
      <c r="O19" s="16">
        <f t="shared" si="4"/>
        <v>0.23265306122448978</v>
      </c>
      <c r="P19" s="17">
        <v>145</v>
      </c>
      <c r="Q19" s="19">
        <f t="shared" si="5"/>
        <v>0.19727891156462585</v>
      </c>
      <c r="S19" s="51">
        <f t="shared" si="6"/>
        <v>0.22196307094266277</v>
      </c>
    </row>
    <row r="20" spans="1:19" ht="15.75" x14ac:dyDescent="0.25">
      <c r="A20" s="18" t="s">
        <v>11</v>
      </c>
      <c r="B20" s="14">
        <v>1900</v>
      </c>
      <c r="C20" s="14">
        <v>1384</v>
      </c>
      <c r="D20" s="15">
        <v>411</v>
      </c>
      <c r="E20" s="16">
        <f t="shared" si="7"/>
        <v>0.29696531791907516</v>
      </c>
      <c r="F20" s="15">
        <v>472</v>
      </c>
      <c r="G20" s="16">
        <f t="shared" si="0"/>
        <v>0.34104046242774566</v>
      </c>
      <c r="H20" s="15">
        <v>439</v>
      </c>
      <c r="I20" s="16">
        <f t="shared" si="1"/>
        <v>0.31719653179190749</v>
      </c>
      <c r="J20" s="15">
        <v>309</v>
      </c>
      <c r="K20" s="16">
        <f t="shared" si="2"/>
        <v>0.22326589595375723</v>
      </c>
      <c r="L20" s="15">
        <v>606</v>
      </c>
      <c r="M20" s="16">
        <f t="shared" si="3"/>
        <v>0.43786127167630057</v>
      </c>
      <c r="N20" s="15">
        <v>577</v>
      </c>
      <c r="O20" s="16">
        <f t="shared" si="4"/>
        <v>0.41690751445086704</v>
      </c>
      <c r="P20" s="17">
        <v>351</v>
      </c>
      <c r="Q20" s="19">
        <f t="shared" si="5"/>
        <v>0.25361271676300579</v>
      </c>
      <c r="S20" s="51">
        <f t="shared" si="6"/>
        <v>0.32669281585466559</v>
      </c>
    </row>
    <row r="21" spans="1:19" ht="15.75" x14ac:dyDescent="0.25">
      <c r="A21" s="18" t="s">
        <v>26</v>
      </c>
      <c r="B21" s="14">
        <v>21</v>
      </c>
      <c r="C21" s="14">
        <v>63</v>
      </c>
      <c r="D21" s="15">
        <v>5</v>
      </c>
      <c r="E21" s="16">
        <f t="shared" si="7"/>
        <v>7.9365079365079361E-2</v>
      </c>
      <c r="F21" s="15">
        <v>5</v>
      </c>
      <c r="G21" s="16">
        <f t="shared" si="0"/>
        <v>7.9365079365079361E-2</v>
      </c>
      <c r="H21" s="15">
        <v>5</v>
      </c>
      <c r="I21" s="16">
        <f t="shared" si="1"/>
        <v>7.9365079365079361E-2</v>
      </c>
      <c r="J21" s="15">
        <v>4</v>
      </c>
      <c r="K21" s="16">
        <f t="shared" si="2"/>
        <v>6.3492063492063489E-2</v>
      </c>
      <c r="L21" s="15">
        <v>4</v>
      </c>
      <c r="M21" s="16">
        <f t="shared" si="3"/>
        <v>6.3492063492063489E-2</v>
      </c>
      <c r="N21" s="15">
        <v>4</v>
      </c>
      <c r="O21" s="16">
        <f t="shared" si="4"/>
        <v>6.3492063492063489E-2</v>
      </c>
      <c r="P21" s="17">
        <v>4</v>
      </c>
      <c r="Q21" s="19">
        <f t="shared" si="5"/>
        <v>6.3492063492063489E-2</v>
      </c>
      <c r="S21" s="51">
        <f t="shared" si="6"/>
        <v>7.0294784580498856E-2</v>
      </c>
    </row>
    <row r="22" spans="1:19" ht="15.75" x14ac:dyDescent="0.25">
      <c r="A22" s="18" t="s">
        <v>13</v>
      </c>
      <c r="B22" s="14">
        <v>1400</v>
      </c>
      <c r="C22" s="14">
        <v>1125</v>
      </c>
      <c r="D22" s="15">
        <v>174</v>
      </c>
      <c r="E22" s="16">
        <f t="shared" si="7"/>
        <v>0.15466666666666667</v>
      </c>
      <c r="F22" s="15">
        <v>202</v>
      </c>
      <c r="G22" s="16">
        <f t="shared" si="0"/>
        <v>0.17955555555555555</v>
      </c>
      <c r="H22" s="15">
        <v>205</v>
      </c>
      <c r="I22" s="16">
        <f t="shared" si="1"/>
        <v>0.18222222222222223</v>
      </c>
      <c r="J22" s="15">
        <v>174</v>
      </c>
      <c r="K22" s="16">
        <f t="shared" si="2"/>
        <v>0.15466666666666667</v>
      </c>
      <c r="L22" s="15">
        <v>204</v>
      </c>
      <c r="M22" s="16">
        <f t="shared" si="3"/>
        <v>0.18133333333333335</v>
      </c>
      <c r="N22" s="15">
        <v>202</v>
      </c>
      <c r="O22" s="16">
        <f t="shared" si="4"/>
        <v>0.17955555555555555</v>
      </c>
      <c r="P22" s="17">
        <v>172</v>
      </c>
      <c r="Q22" s="19">
        <f t="shared" si="5"/>
        <v>0.15288888888888888</v>
      </c>
      <c r="S22" s="51">
        <f t="shared" si="6"/>
        <v>0.16926984126984126</v>
      </c>
    </row>
    <row r="23" spans="1:19" ht="15.75" x14ac:dyDescent="0.25">
      <c r="A23" s="18" t="s">
        <v>50</v>
      </c>
      <c r="B23" s="14">
        <v>411</v>
      </c>
      <c r="C23" s="14">
        <v>411</v>
      </c>
      <c r="D23" s="15">
        <v>77</v>
      </c>
      <c r="E23" s="16">
        <f t="shared" si="7"/>
        <v>0.18734793187347931</v>
      </c>
      <c r="F23" s="15">
        <v>93</v>
      </c>
      <c r="G23" s="16">
        <f t="shared" si="0"/>
        <v>0.22627737226277372</v>
      </c>
      <c r="H23" s="15">
        <v>95</v>
      </c>
      <c r="I23" s="16">
        <f t="shared" si="1"/>
        <v>0.23114355231143552</v>
      </c>
      <c r="J23" s="15">
        <v>72</v>
      </c>
      <c r="K23" s="16">
        <f t="shared" si="2"/>
        <v>0.17518248175182483</v>
      </c>
      <c r="L23" s="15">
        <v>101</v>
      </c>
      <c r="M23" s="16">
        <f t="shared" si="3"/>
        <v>0.24574209245742093</v>
      </c>
      <c r="N23" s="15">
        <v>105</v>
      </c>
      <c r="O23" s="16">
        <f t="shared" si="4"/>
        <v>0.25547445255474455</v>
      </c>
      <c r="P23" s="17">
        <v>75</v>
      </c>
      <c r="Q23" s="19">
        <f t="shared" si="5"/>
        <v>0.18248175182481752</v>
      </c>
      <c r="S23" s="51">
        <f t="shared" si="6"/>
        <v>0.21480709071949949</v>
      </c>
    </row>
    <row r="24" spans="1:19" ht="15.75" x14ac:dyDescent="0.25">
      <c r="A24" s="18" t="s">
        <v>12</v>
      </c>
      <c r="B24" s="14">
        <v>237</v>
      </c>
      <c r="C24" s="14">
        <v>88</v>
      </c>
      <c r="D24" s="15">
        <v>16</v>
      </c>
      <c r="E24" s="16">
        <f t="shared" si="7"/>
        <v>0.18181818181818182</v>
      </c>
      <c r="F24" s="15">
        <v>17</v>
      </c>
      <c r="G24" s="16">
        <f t="shared" si="0"/>
        <v>0.19318181818181818</v>
      </c>
      <c r="H24" s="15">
        <v>19</v>
      </c>
      <c r="I24" s="16">
        <f t="shared" si="1"/>
        <v>0.21590909090909091</v>
      </c>
      <c r="J24" s="15">
        <v>15</v>
      </c>
      <c r="K24" s="16">
        <f t="shared" si="2"/>
        <v>0.17045454545454544</v>
      </c>
      <c r="L24" s="15">
        <v>15</v>
      </c>
      <c r="M24" s="16">
        <f t="shared" si="3"/>
        <v>0.17045454545454544</v>
      </c>
      <c r="N24" s="15">
        <v>16</v>
      </c>
      <c r="O24" s="16">
        <f t="shared" si="4"/>
        <v>0.18181818181818182</v>
      </c>
      <c r="P24" s="17">
        <v>6</v>
      </c>
      <c r="Q24" s="19">
        <f t="shared" si="5"/>
        <v>6.8181818181818177E-2</v>
      </c>
      <c r="S24" s="51">
        <f t="shared" si="6"/>
        <v>0.1688311688311688</v>
      </c>
    </row>
    <row r="25" spans="1:19" ht="15.75" x14ac:dyDescent="0.25">
      <c r="A25" s="18" t="s">
        <v>51</v>
      </c>
      <c r="B25" s="14">
        <v>143</v>
      </c>
      <c r="C25" s="14">
        <v>143</v>
      </c>
      <c r="D25" s="15">
        <v>21</v>
      </c>
      <c r="E25" s="16">
        <f t="shared" si="7"/>
        <v>0.14685314685314685</v>
      </c>
      <c r="F25" s="15">
        <v>27</v>
      </c>
      <c r="G25" s="16">
        <f t="shared" si="0"/>
        <v>0.1888111888111888</v>
      </c>
      <c r="H25" s="15">
        <v>29</v>
      </c>
      <c r="I25" s="16">
        <f t="shared" si="1"/>
        <v>0.20279720279720279</v>
      </c>
      <c r="J25" s="15">
        <v>26</v>
      </c>
      <c r="K25" s="16">
        <f t="shared" si="2"/>
        <v>0.18181818181818182</v>
      </c>
      <c r="L25" s="15">
        <v>28</v>
      </c>
      <c r="M25" s="16">
        <f t="shared" si="3"/>
        <v>0.19580419580419581</v>
      </c>
      <c r="N25" s="15">
        <v>34</v>
      </c>
      <c r="O25" s="16">
        <f t="shared" si="4"/>
        <v>0.23776223776223776</v>
      </c>
      <c r="P25" s="17">
        <v>29</v>
      </c>
      <c r="Q25" s="19">
        <f t="shared" si="5"/>
        <v>0.20279720279720279</v>
      </c>
      <c r="S25" s="51">
        <f t="shared" si="6"/>
        <v>0.19380619380619377</v>
      </c>
    </row>
    <row r="26" spans="1:19" ht="15.75" x14ac:dyDescent="0.25">
      <c r="A26" s="18" t="s">
        <v>28</v>
      </c>
      <c r="B26" s="14">
        <v>173</v>
      </c>
      <c r="C26" s="14">
        <v>126</v>
      </c>
      <c r="D26" s="15">
        <v>24</v>
      </c>
      <c r="E26" s="16">
        <f t="shared" si="7"/>
        <v>0.19047619047619047</v>
      </c>
      <c r="F26" s="15">
        <v>28</v>
      </c>
      <c r="G26" s="16">
        <f t="shared" si="0"/>
        <v>0.22222222222222221</v>
      </c>
      <c r="H26" s="15">
        <v>28</v>
      </c>
      <c r="I26" s="16">
        <f t="shared" si="1"/>
        <v>0.22222222222222221</v>
      </c>
      <c r="J26" s="15">
        <v>21</v>
      </c>
      <c r="K26" s="16">
        <f t="shared" si="2"/>
        <v>0.16666666666666666</v>
      </c>
      <c r="L26" s="15">
        <v>25</v>
      </c>
      <c r="M26" s="16">
        <f t="shared" si="3"/>
        <v>0.1984126984126984</v>
      </c>
      <c r="N26" s="15">
        <v>28</v>
      </c>
      <c r="O26" s="16">
        <f t="shared" si="4"/>
        <v>0.22222222222222221</v>
      </c>
      <c r="P26" s="17">
        <v>29</v>
      </c>
      <c r="Q26" s="19">
        <f t="shared" si="5"/>
        <v>0.23015873015873015</v>
      </c>
      <c r="S26" s="51">
        <f t="shared" si="6"/>
        <v>0.20748299319727889</v>
      </c>
    </row>
    <row r="27" spans="1:19" ht="15.75" x14ac:dyDescent="0.25">
      <c r="A27" s="18" t="s">
        <v>25</v>
      </c>
      <c r="B27" s="14">
        <v>300</v>
      </c>
      <c r="C27" s="14">
        <v>250</v>
      </c>
      <c r="D27" s="15">
        <v>40</v>
      </c>
      <c r="E27" s="16">
        <f t="shared" si="7"/>
        <v>0.16</v>
      </c>
      <c r="F27" s="15">
        <v>45</v>
      </c>
      <c r="G27" s="16">
        <f t="shared" si="0"/>
        <v>0.18</v>
      </c>
      <c r="H27" s="15">
        <v>46</v>
      </c>
      <c r="I27" s="16">
        <f t="shared" si="1"/>
        <v>0.184</v>
      </c>
      <c r="J27" s="15">
        <v>34</v>
      </c>
      <c r="K27" s="16">
        <f t="shared" si="2"/>
        <v>0.13600000000000001</v>
      </c>
      <c r="L27" s="15">
        <v>45</v>
      </c>
      <c r="M27" s="16">
        <f t="shared" si="3"/>
        <v>0.18</v>
      </c>
      <c r="N27" s="15">
        <v>46</v>
      </c>
      <c r="O27" s="16">
        <f t="shared" si="4"/>
        <v>0.184</v>
      </c>
      <c r="P27" s="17">
        <v>40</v>
      </c>
      <c r="Q27" s="19">
        <f t="shared" si="5"/>
        <v>0.16</v>
      </c>
      <c r="S27" s="51">
        <f t="shared" si="6"/>
        <v>0.16914285714285712</v>
      </c>
    </row>
    <row r="28" spans="1:19" ht="33.75" customHeight="1" thickBot="1" x14ac:dyDescent="0.3">
      <c r="A28" s="2" t="s">
        <v>32</v>
      </c>
      <c r="B28" s="54">
        <f>SUM(B3:B27)</f>
        <v>37215</v>
      </c>
      <c r="C28" s="54">
        <f>SUM(C3:C27)</f>
        <v>32406</v>
      </c>
      <c r="D28" s="53">
        <f t="shared" ref="D28:L28" si="8">SUM(D3:D27)</f>
        <v>6699</v>
      </c>
      <c r="E28" s="20">
        <f>D28/C28</f>
        <v>0.20672097759674135</v>
      </c>
      <c r="F28" s="3">
        <f t="shared" si="8"/>
        <v>7746</v>
      </c>
      <c r="G28" s="20">
        <f t="shared" ref="G28" si="9">F28/C28</f>
        <v>0.23902980929457507</v>
      </c>
      <c r="H28" s="3">
        <f t="shared" si="8"/>
        <v>7594</v>
      </c>
      <c r="I28" s="20">
        <f t="shared" ref="I28" si="10">H28/C28</f>
        <v>0.23433931987903475</v>
      </c>
      <c r="J28" s="3">
        <f t="shared" si="8"/>
        <v>6385</v>
      </c>
      <c r="K28" s="20">
        <f t="shared" ref="K28" si="11">J28/C28</f>
        <v>0.19703141393569093</v>
      </c>
      <c r="L28" s="3">
        <f t="shared" si="8"/>
        <v>7580</v>
      </c>
      <c r="M28" s="20">
        <f t="shared" ref="M28" si="12">L28/C28</f>
        <v>0.23390730111707708</v>
      </c>
      <c r="N28" s="3">
        <f t="shared" ref="N28:P28" si="13">SUM(N3:N27)</f>
        <v>7691</v>
      </c>
      <c r="O28" s="20">
        <f t="shared" ref="O28" si="14">N28/C28</f>
        <v>0.23733259272974142</v>
      </c>
      <c r="P28" s="3">
        <f t="shared" si="13"/>
        <v>6094</v>
      </c>
      <c r="Q28" s="21">
        <f t="shared" ref="Q28" si="15">P28/C28</f>
        <v>0.18805159538357094</v>
      </c>
      <c r="S28" s="52">
        <f>AVERAGE(S3:S27)</f>
        <v>0.19739122662694986</v>
      </c>
    </row>
    <row r="29" spans="1:19" ht="15.75" thickBot="1" x14ac:dyDescent="0.3">
      <c r="E29" s="10"/>
      <c r="K29" s="10"/>
    </row>
    <row r="30" spans="1:19" s="22" customFormat="1" ht="38.25" customHeight="1" x14ac:dyDescent="0.25">
      <c r="A30" s="24" t="s">
        <v>35</v>
      </c>
      <c r="B30" s="25">
        <f>AVERAGE(D28,F28,H28,J28,L28,N28,P28)</f>
        <v>7112.7142857142853</v>
      </c>
      <c r="D30" s="37"/>
      <c r="E30" s="37"/>
      <c r="F30" s="37"/>
      <c r="G30" s="37"/>
      <c r="H30" s="37"/>
      <c r="I30" s="37"/>
      <c r="J30" s="37"/>
      <c r="K30" s="23"/>
    </row>
    <row r="31" spans="1:19" s="22" customFormat="1" ht="35.25" customHeight="1" thickBot="1" x14ac:dyDescent="0.3">
      <c r="A31" s="26" t="s">
        <v>36</v>
      </c>
      <c r="B31" s="27">
        <f>AVERAGE(E28,G28,I28,K28,M28,O28,Q28)</f>
        <v>0.21948757284806164</v>
      </c>
      <c r="D31" s="37"/>
      <c r="E31" s="37"/>
      <c r="F31" s="37"/>
      <c r="G31" s="37"/>
      <c r="H31" s="37"/>
      <c r="I31" s="37"/>
      <c r="J31" s="37"/>
      <c r="K31" s="23"/>
    </row>
    <row r="33" spans="1:11" ht="15" customHeight="1" x14ac:dyDescent="0.25">
      <c r="A33" s="60" t="s">
        <v>37</v>
      </c>
      <c r="B33" s="60"/>
      <c r="C33" s="60"/>
      <c r="D33" s="37"/>
      <c r="E33" s="37"/>
      <c r="F33" s="37"/>
      <c r="G33" s="37"/>
    </row>
    <row r="34" spans="1:11" ht="15" customHeight="1" x14ac:dyDescent="0.25">
      <c r="A34" s="60"/>
      <c r="B34" s="60"/>
      <c r="C34" s="60"/>
      <c r="D34" s="37"/>
      <c r="E34" s="37"/>
      <c r="F34" s="37"/>
      <c r="G34" s="37"/>
    </row>
    <row r="37" spans="1:11" x14ac:dyDescent="0.25">
      <c r="E37" s="10"/>
      <c r="K37" s="10"/>
    </row>
    <row r="38" spans="1:11" x14ac:dyDescent="0.25">
      <c r="E38" s="10"/>
      <c r="K38" s="10"/>
    </row>
    <row r="39" spans="1:11" x14ac:dyDescent="0.25">
      <c r="E39" s="10"/>
      <c r="K39" s="10"/>
    </row>
    <row r="40" spans="1:11" x14ac:dyDescent="0.25">
      <c r="E40" s="10"/>
      <c r="K40" s="10"/>
    </row>
    <row r="41" spans="1:11" x14ac:dyDescent="0.25">
      <c r="E41" s="10"/>
      <c r="K41" s="10"/>
    </row>
    <row r="42" spans="1:11" x14ac:dyDescent="0.25">
      <c r="E42" s="10"/>
      <c r="K42" s="10"/>
    </row>
    <row r="43" spans="1:11" x14ac:dyDescent="0.25">
      <c r="E43" s="10"/>
      <c r="K43" s="10"/>
    </row>
    <row r="44" spans="1:11" x14ac:dyDescent="0.25">
      <c r="E44" s="10"/>
      <c r="K44" s="10"/>
    </row>
    <row r="45" spans="1:11" x14ac:dyDescent="0.25">
      <c r="E45" s="10"/>
      <c r="K45" s="10"/>
    </row>
    <row r="46" spans="1:11" x14ac:dyDescent="0.25">
      <c r="E46" s="10"/>
      <c r="K46" s="10"/>
    </row>
    <row r="47" spans="1:11" x14ac:dyDescent="0.25">
      <c r="E47" s="10"/>
      <c r="K47" s="10"/>
    </row>
    <row r="48" spans="1:11" x14ac:dyDescent="0.25">
      <c r="E48" s="10"/>
      <c r="K48" s="10"/>
    </row>
    <row r="49" spans="5:11" x14ac:dyDescent="0.25">
      <c r="E49" s="10"/>
      <c r="K49" s="10"/>
    </row>
    <row r="50" spans="5:11" x14ac:dyDescent="0.25">
      <c r="E50" s="10"/>
      <c r="K50" s="10"/>
    </row>
  </sheetData>
  <sortState xmlns:xlrd2="http://schemas.microsoft.com/office/spreadsheetml/2017/richdata2" ref="A3:S27">
    <sortCondition ref="A3:A27"/>
  </sortState>
  <mergeCells count="2">
    <mergeCell ref="A1:Q1"/>
    <mergeCell ref="A33:C34"/>
  </mergeCells>
  <pageMargins left="0.511811024" right="0.511811024" top="0.78740157499999996" bottom="0.78740157499999996" header="0.31496062000000002" footer="0.31496062000000002"/>
  <ignoredErrors>
    <ignoredError sqref="G28 I28 K28 M28 O28 E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9FC4-7F36-4826-81E0-5F2DF9DC0633}">
  <dimension ref="A1:L30"/>
  <sheetViews>
    <sheetView topLeftCell="A2" workbookViewId="0">
      <selection activeCell="D13" sqref="D13"/>
    </sheetView>
  </sheetViews>
  <sheetFormatPr defaultRowHeight="15" x14ac:dyDescent="0.25"/>
  <cols>
    <col min="1" max="1" width="26.42578125" style="1" bestFit="1" customWidth="1"/>
    <col min="2" max="2" width="11.42578125" style="1" bestFit="1" customWidth="1"/>
    <col min="3" max="4" width="11.5703125" style="1" bestFit="1" customWidth="1"/>
    <col min="5" max="7" width="11.42578125" style="1" bestFit="1" customWidth="1"/>
    <col min="8" max="8" width="11.5703125" style="1" bestFit="1" customWidth="1"/>
    <col min="9" max="9" width="9.140625" style="1"/>
    <col min="10" max="10" width="17.85546875" style="1" customWidth="1"/>
    <col min="11" max="11" width="17.85546875" style="1" bestFit="1" customWidth="1"/>
    <col min="12" max="12" width="11.5703125" style="1" bestFit="1" customWidth="1"/>
    <col min="13" max="16384" width="9.140625" style="1"/>
  </cols>
  <sheetData>
    <row r="1" spans="1:11" ht="32.25" customHeight="1" thickBot="1" x14ac:dyDescent="0.3">
      <c r="A1" s="61" t="s">
        <v>38</v>
      </c>
      <c r="B1" s="62"/>
      <c r="C1" s="62"/>
      <c r="D1" s="62"/>
      <c r="E1" s="62"/>
      <c r="F1" s="62"/>
      <c r="G1" s="62"/>
      <c r="H1" s="63"/>
    </row>
    <row r="2" spans="1:11" ht="31.5" customHeight="1" thickBot="1" x14ac:dyDescent="0.3">
      <c r="A2" s="28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29" t="s">
        <v>7</v>
      </c>
      <c r="J2" s="32" t="s">
        <v>42</v>
      </c>
      <c r="K2" s="44" t="s">
        <v>41</v>
      </c>
    </row>
    <row r="3" spans="1:11" ht="15.75" x14ac:dyDescent="0.25">
      <c r="A3" s="30" t="s">
        <v>8</v>
      </c>
      <c r="B3" s="33">
        <v>102</v>
      </c>
      <c r="C3" s="33">
        <v>103</v>
      </c>
      <c r="D3" s="33">
        <v>96</v>
      </c>
      <c r="E3" s="33">
        <v>96</v>
      </c>
      <c r="F3" s="33">
        <v>100</v>
      </c>
      <c r="G3" s="33">
        <v>101</v>
      </c>
      <c r="H3" s="34">
        <v>96</v>
      </c>
      <c r="J3" s="40">
        <f>AVERAGE(B3:H3)</f>
        <v>99.142857142857139</v>
      </c>
      <c r="K3" s="45">
        <f t="shared" ref="K3:K23" ca="1" si="0">J3*$K$30</f>
        <v>503.39785714285711</v>
      </c>
    </row>
    <row r="4" spans="1:11" ht="15.75" x14ac:dyDescent="0.25">
      <c r="A4" s="30" t="s">
        <v>9</v>
      </c>
      <c r="B4" s="33">
        <v>70</v>
      </c>
      <c r="C4" s="33">
        <v>70</v>
      </c>
      <c r="D4" s="33">
        <v>67</v>
      </c>
      <c r="E4" s="33">
        <v>67</v>
      </c>
      <c r="F4" s="33">
        <v>70</v>
      </c>
      <c r="G4" s="33">
        <v>70</v>
      </c>
      <c r="H4" s="34">
        <v>69</v>
      </c>
      <c r="J4" s="41">
        <f t="shared" ref="J4:J27" si="1">AVERAGE(B4:H4)</f>
        <v>69</v>
      </c>
      <c r="K4" s="46">
        <f t="shared" ca="1" si="0"/>
        <v>350.34749999999997</v>
      </c>
    </row>
    <row r="5" spans="1:11" ht="15.75" x14ac:dyDescent="0.25">
      <c r="A5" s="30" t="s">
        <v>10</v>
      </c>
      <c r="B5" s="33">
        <v>108</v>
      </c>
      <c r="C5" s="33">
        <v>108</v>
      </c>
      <c r="D5" s="33">
        <v>101</v>
      </c>
      <c r="E5" s="33">
        <v>103</v>
      </c>
      <c r="F5" s="33">
        <v>105</v>
      </c>
      <c r="G5" s="33">
        <v>107</v>
      </c>
      <c r="H5" s="34">
        <v>105</v>
      </c>
      <c r="J5" s="41">
        <f t="shared" si="1"/>
        <v>105.28571428571429</v>
      </c>
      <c r="K5" s="46">
        <f t="shared" ca="1" si="0"/>
        <v>534.58821428571423</v>
      </c>
    </row>
    <row r="6" spans="1:11" ht="15.75" x14ac:dyDescent="0.25">
      <c r="A6" s="30" t="s">
        <v>11</v>
      </c>
      <c r="B6" s="33">
        <v>80</v>
      </c>
      <c r="C6" s="33">
        <v>80</v>
      </c>
      <c r="D6" s="33">
        <v>77</v>
      </c>
      <c r="E6" s="33">
        <v>71</v>
      </c>
      <c r="F6" s="33">
        <v>74</v>
      </c>
      <c r="G6" s="33">
        <v>78</v>
      </c>
      <c r="H6" s="34">
        <v>74</v>
      </c>
      <c r="J6" s="41">
        <f t="shared" si="1"/>
        <v>76.285714285714292</v>
      </c>
      <c r="K6" s="46">
        <f t="shared" ca="1" si="0"/>
        <v>387.34071428571428</v>
      </c>
    </row>
    <row r="7" spans="1:11" ht="15.75" x14ac:dyDescent="0.25">
      <c r="A7" s="30" t="s">
        <v>12</v>
      </c>
      <c r="B7" s="33">
        <v>96</v>
      </c>
      <c r="C7" s="33">
        <v>101</v>
      </c>
      <c r="D7" s="33">
        <v>125</v>
      </c>
      <c r="E7" s="33">
        <v>97</v>
      </c>
      <c r="F7" s="33">
        <v>97</v>
      </c>
      <c r="G7" s="33">
        <v>97</v>
      </c>
      <c r="H7" s="34">
        <v>106</v>
      </c>
      <c r="J7" s="41">
        <f t="shared" si="1"/>
        <v>102.71428571428571</v>
      </c>
      <c r="K7" s="46">
        <f t="shared" ca="1" si="0"/>
        <v>521.53178571428566</v>
      </c>
    </row>
    <row r="8" spans="1:11" ht="15.75" x14ac:dyDescent="0.25">
      <c r="A8" s="30" t="s">
        <v>13</v>
      </c>
      <c r="B8" s="33">
        <v>40</v>
      </c>
      <c r="C8" s="33">
        <v>41</v>
      </c>
      <c r="D8" s="33">
        <v>41</v>
      </c>
      <c r="E8" s="33">
        <v>40</v>
      </c>
      <c r="F8" s="33">
        <v>41</v>
      </c>
      <c r="G8" s="33">
        <v>41</v>
      </c>
      <c r="H8" s="34">
        <v>40</v>
      </c>
      <c r="J8" s="41">
        <f t="shared" si="1"/>
        <v>40.571428571428569</v>
      </c>
      <c r="K8" s="46">
        <f t="shared" ca="1" si="0"/>
        <v>206.00142857142856</v>
      </c>
    </row>
    <row r="9" spans="1:11" ht="15.75" x14ac:dyDescent="0.25">
      <c r="A9" s="30" t="s">
        <v>14</v>
      </c>
      <c r="B9" s="33">
        <v>39</v>
      </c>
      <c r="C9" s="33">
        <v>40</v>
      </c>
      <c r="D9" s="33">
        <v>38</v>
      </c>
      <c r="E9" s="33">
        <v>37</v>
      </c>
      <c r="F9" s="33">
        <v>40</v>
      </c>
      <c r="G9" s="33">
        <v>41</v>
      </c>
      <c r="H9" s="34">
        <v>39</v>
      </c>
      <c r="J9" s="41">
        <f t="shared" si="1"/>
        <v>39.142857142857146</v>
      </c>
      <c r="K9" s="46">
        <f t="shared" ca="1" si="0"/>
        <v>198.74785714285716</v>
      </c>
    </row>
    <row r="10" spans="1:11" ht="15.75" x14ac:dyDescent="0.25">
      <c r="A10" s="30" t="s">
        <v>27</v>
      </c>
      <c r="B10" s="33">
        <v>75</v>
      </c>
      <c r="C10" s="33">
        <v>68</v>
      </c>
      <c r="D10" s="33">
        <v>67</v>
      </c>
      <c r="E10" s="33">
        <v>70</v>
      </c>
      <c r="F10" s="33">
        <v>73</v>
      </c>
      <c r="G10" s="33">
        <v>76</v>
      </c>
      <c r="H10" s="34">
        <v>75</v>
      </c>
      <c r="J10" s="41">
        <f t="shared" si="1"/>
        <v>72</v>
      </c>
      <c r="K10" s="46">
        <f t="shared" ca="1" si="0"/>
        <v>365.58</v>
      </c>
    </row>
    <row r="11" spans="1:11" ht="15.75" x14ac:dyDescent="0.25">
      <c r="A11" s="30" t="s">
        <v>15</v>
      </c>
      <c r="B11" s="33">
        <v>50</v>
      </c>
      <c r="C11" s="33">
        <v>47</v>
      </c>
      <c r="D11" s="33">
        <v>44</v>
      </c>
      <c r="E11" s="33">
        <v>46</v>
      </c>
      <c r="F11" s="33">
        <v>46</v>
      </c>
      <c r="G11" s="33">
        <v>46</v>
      </c>
      <c r="H11" s="34">
        <v>46</v>
      </c>
      <c r="J11" s="41">
        <f t="shared" si="1"/>
        <v>46.428571428571431</v>
      </c>
      <c r="K11" s="46">
        <f t="shared" ca="1" si="0"/>
        <v>235.74107142857142</v>
      </c>
    </row>
    <row r="12" spans="1:11" ht="15.75" x14ac:dyDescent="0.25">
      <c r="A12" s="30" t="s">
        <v>16</v>
      </c>
      <c r="B12" s="33">
        <v>59</v>
      </c>
      <c r="C12" s="33">
        <v>60</v>
      </c>
      <c r="D12" s="33">
        <v>57</v>
      </c>
      <c r="E12" s="33">
        <v>55</v>
      </c>
      <c r="F12" s="33">
        <v>58</v>
      </c>
      <c r="G12" s="33">
        <v>58</v>
      </c>
      <c r="H12" s="34">
        <v>55</v>
      </c>
      <c r="J12" s="41">
        <f t="shared" si="1"/>
        <v>57.428571428571431</v>
      </c>
      <c r="K12" s="46">
        <f t="shared" ca="1" si="0"/>
        <v>291.59357142857141</v>
      </c>
    </row>
    <row r="13" spans="1:11" ht="15.75" x14ac:dyDescent="0.25">
      <c r="A13" s="30" t="s">
        <v>17</v>
      </c>
      <c r="B13" s="33">
        <v>59</v>
      </c>
      <c r="C13" s="33">
        <v>60</v>
      </c>
      <c r="D13" s="33">
        <v>58</v>
      </c>
      <c r="E13" s="33">
        <v>55</v>
      </c>
      <c r="F13" s="33">
        <v>55</v>
      </c>
      <c r="G13" s="33">
        <v>57</v>
      </c>
      <c r="H13" s="34">
        <v>54</v>
      </c>
      <c r="J13" s="41">
        <f t="shared" si="1"/>
        <v>56.857142857142854</v>
      </c>
      <c r="K13" s="46">
        <f t="shared" ca="1" si="0"/>
        <v>288.69214285714281</v>
      </c>
    </row>
    <row r="14" spans="1:11" ht="15.75" x14ac:dyDescent="0.25">
      <c r="A14" s="30" t="s">
        <v>18</v>
      </c>
      <c r="B14" s="33">
        <v>199</v>
      </c>
      <c r="C14" s="33">
        <v>209</v>
      </c>
      <c r="D14" s="33">
        <v>211</v>
      </c>
      <c r="E14" s="33">
        <v>107</v>
      </c>
      <c r="F14" s="33">
        <v>158</v>
      </c>
      <c r="G14" s="33">
        <v>158</v>
      </c>
      <c r="H14" s="34">
        <v>104</v>
      </c>
      <c r="J14" s="41">
        <f t="shared" si="1"/>
        <v>163.71428571428572</v>
      </c>
      <c r="K14" s="46">
        <f t="shared" ca="1" si="0"/>
        <v>831.25928571428574</v>
      </c>
    </row>
    <row r="15" spans="1:11" ht="15.75" x14ac:dyDescent="0.25">
      <c r="A15" s="30" t="s">
        <v>21</v>
      </c>
      <c r="B15" s="33">
        <v>95</v>
      </c>
      <c r="C15" s="33">
        <v>95</v>
      </c>
      <c r="D15" s="33">
        <v>85</v>
      </c>
      <c r="E15" s="33">
        <v>75</v>
      </c>
      <c r="F15" s="33">
        <v>76</v>
      </c>
      <c r="G15" s="33">
        <v>79</v>
      </c>
      <c r="H15" s="34">
        <v>79</v>
      </c>
      <c r="J15" s="41">
        <f t="shared" si="1"/>
        <v>83.428571428571431</v>
      </c>
      <c r="K15" s="46">
        <f t="shared" ca="1" si="0"/>
        <v>423.60857142857139</v>
      </c>
    </row>
    <row r="16" spans="1:11" ht="15.75" x14ac:dyDescent="0.25">
      <c r="A16" s="30" t="s">
        <v>22</v>
      </c>
      <c r="B16" s="33">
        <v>118</v>
      </c>
      <c r="C16" s="33">
        <v>119</v>
      </c>
      <c r="D16" s="33">
        <v>110</v>
      </c>
      <c r="E16" s="33">
        <v>110</v>
      </c>
      <c r="F16" s="33">
        <v>112</v>
      </c>
      <c r="G16" s="33">
        <v>113</v>
      </c>
      <c r="H16" s="34">
        <v>112</v>
      </c>
      <c r="J16" s="41">
        <f t="shared" si="1"/>
        <v>113.42857142857143</v>
      </c>
      <c r="K16" s="46">
        <f t="shared" ca="1" si="0"/>
        <v>575.93357142857144</v>
      </c>
    </row>
    <row r="17" spans="1:12" ht="15.75" x14ac:dyDescent="0.25">
      <c r="A17" s="30" t="s">
        <v>20</v>
      </c>
      <c r="B17" s="33">
        <v>80</v>
      </c>
      <c r="C17" s="33">
        <v>74</v>
      </c>
      <c r="D17" s="33">
        <v>93</v>
      </c>
      <c r="E17" s="33">
        <v>67</v>
      </c>
      <c r="F17" s="33">
        <v>67</v>
      </c>
      <c r="G17" s="33">
        <v>69</v>
      </c>
      <c r="H17" s="34">
        <v>67</v>
      </c>
      <c r="J17" s="41">
        <f t="shared" si="1"/>
        <v>73.857142857142861</v>
      </c>
      <c r="K17" s="46">
        <f t="shared" ca="1" si="0"/>
        <v>375.00964285714286</v>
      </c>
    </row>
    <row r="18" spans="1:12" ht="15.75" x14ac:dyDescent="0.25">
      <c r="A18" s="30" t="s">
        <v>23</v>
      </c>
      <c r="B18" s="33">
        <v>72</v>
      </c>
      <c r="C18" s="33">
        <v>72</v>
      </c>
      <c r="D18" s="33">
        <v>71</v>
      </c>
      <c r="E18" s="33">
        <v>66</v>
      </c>
      <c r="F18" s="33">
        <v>67</v>
      </c>
      <c r="G18" s="33">
        <v>71</v>
      </c>
      <c r="H18" s="34">
        <v>68</v>
      </c>
      <c r="J18" s="41">
        <f t="shared" si="1"/>
        <v>69.571428571428569</v>
      </c>
      <c r="K18" s="46">
        <f t="shared" ca="1" si="0"/>
        <v>353.24892857142856</v>
      </c>
    </row>
    <row r="19" spans="1:12" ht="15.75" x14ac:dyDescent="0.25">
      <c r="A19" s="30" t="s">
        <v>24</v>
      </c>
      <c r="B19" s="33">
        <v>82</v>
      </c>
      <c r="C19" s="33">
        <v>84</v>
      </c>
      <c r="D19" s="33">
        <v>78</v>
      </c>
      <c r="E19" s="33">
        <v>82</v>
      </c>
      <c r="F19" s="33">
        <v>74</v>
      </c>
      <c r="G19" s="33">
        <v>80</v>
      </c>
      <c r="H19" s="34">
        <v>86</v>
      </c>
      <c r="J19" s="41">
        <f t="shared" si="1"/>
        <v>80.857142857142861</v>
      </c>
      <c r="K19" s="46">
        <f t="shared" ca="1" si="0"/>
        <v>410.55214285714283</v>
      </c>
    </row>
    <row r="20" spans="1:12" ht="15.75" x14ac:dyDescent="0.25">
      <c r="A20" s="30" t="s">
        <v>26</v>
      </c>
      <c r="B20" s="33">
        <v>26</v>
      </c>
      <c r="C20" s="33">
        <v>28</v>
      </c>
      <c r="D20" s="33">
        <v>30</v>
      </c>
      <c r="E20" s="33">
        <v>22</v>
      </c>
      <c r="F20" s="33">
        <v>24</v>
      </c>
      <c r="G20" s="33">
        <v>29</v>
      </c>
      <c r="H20" s="34">
        <v>29</v>
      </c>
      <c r="J20" s="41">
        <f t="shared" si="1"/>
        <v>26.857142857142858</v>
      </c>
      <c r="K20" s="46">
        <f t="shared" ca="1" si="0"/>
        <v>136.36714285714285</v>
      </c>
    </row>
    <row r="21" spans="1:12" ht="15.75" x14ac:dyDescent="0.25">
      <c r="A21" s="30" t="s">
        <v>28</v>
      </c>
      <c r="B21" s="33">
        <v>61</v>
      </c>
      <c r="C21" s="33">
        <v>64</v>
      </c>
      <c r="D21" s="33">
        <v>53</v>
      </c>
      <c r="E21" s="33">
        <v>62</v>
      </c>
      <c r="F21" s="33">
        <v>63</v>
      </c>
      <c r="G21" s="33">
        <v>65</v>
      </c>
      <c r="H21" s="34">
        <v>55</v>
      </c>
      <c r="J21" s="41">
        <f t="shared" si="1"/>
        <v>60.428571428571431</v>
      </c>
      <c r="K21" s="46">
        <f t="shared" ca="1" si="0"/>
        <v>306.82607142857142</v>
      </c>
    </row>
    <row r="22" spans="1:12" ht="15.75" x14ac:dyDescent="0.25">
      <c r="A22" s="30" t="s">
        <v>29</v>
      </c>
      <c r="B22" s="33">
        <v>54</v>
      </c>
      <c r="C22" s="33">
        <v>54</v>
      </c>
      <c r="D22" s="33">
        <v>52</v>
      </c>
      <c r="E22" s="33">
        <v>52</v>
      </c>
      <c r="F22" s="33">
        <v>59</v>
      </c>
      <c r="G22" s="33">
        <v>61</v>
      </c>
      <c r="H22" s="34">
        <v>60</v>
      </c>
      <c r="J22" s="41">
        <f t="shared" si="1"/>
        <v>56</v>
      </c>
      <c r="K22" s="46">
        <f t="shared" ca="1" si="0"/>
        <v>284.33999999999997</v>
      </c>
    </row>
    <row r="23" spans="1:12" ht="15.75" x14ac:dyDescent="0.25">
      <c r="A23" s="30" t="s">
        <v>30</v>
      </c>
      <c r="B23" s="33">
        <v>46</v>
      </c>
      <c r="C23" s="33">
        <v>49</v>
      </c>
      <c r="D23" s="33">
        <v>47</v>
      </c>
      <c r="E23" s="33">
        <v>45</v>
      </c>
      <c r="F23" s="33">
        <v>45</v>
      </c>
      <c r="G23" s="33">
        <v>46</v>
      </c>
      <c r="H23" s="34">
        <v>47</v>
      </c>
      <c r="J23" s="41">
        <f t="shared" si="1"/>
        <v>46.428571428571431</v>
      </c>
      <c r="K23" s="46">
        <f t="shared" ca="1" si="0"/>
        <v>235.74107142857142</v>
      </c>
    </row>
    <row r="24" spans="1:12" ht="15.75" x14ac:dyDescent="0.25">
      <c r="A24" s="30" t="s">
        <v>51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4">
        <v>0</v>
      </c>
      <c r="J24" s="41">
        <f t="shared" ref="J24:J25" si="2">AVERAGE(B24:H24)</f>
        <v>0</v>
      </c>
      <c r="K24" s="46">
        <f t="shared" ref="K24:K25" ca="1" si="3">J24*$K$30</f>
        <v>0</v>
      </c>
    </row>
    <row r="25" spans="1:12" ht="15.75" x14ac:dyDescent="0.25">
      <c r="A25" s="30" t="s">
        <v>50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4">
        <v>0</v>
      </c>
      <c r="J25" s="41">
        <f t="shared" si="2"/>
        <v>0</v>
      </c>
      <c r="K25" s="46">
        <f t="shared" ca="1" si="3"/>
        <v>0</v>
      </c>
    </row>
    <row r="26" spans="1:12" ht="15.75" x14ac:dyDescent="0.25">
      <c r="A26" s="30" t="s">
        <v>31</v>
      </c>
      <c r="B26" s="33">
        <v>40</v>
      </c>
      <c r="C26" s="33">
        <v>41</v>
      </c>
      <c r="D26" s="33">
        <v>39</v>
      </c>
      <c r="E26" s="33">
        <v>38</v>
      </c>
      <c r="F26" s="33">
        <v>41</v>
      </c>
      <c r="G26" s="33">
        <v>42</v>
      </c>
      <c r="H26" s="34">
        <v>40</v>
      </c>
      <c r="J26" s="41">
        <f t="shared" si="1"/>
        <v>40.142857142857146</v>
      </c>
      <c r="K26" s="46">
        <f ca="1">J26*$K$30</f>
        <v>203.82535714285714</v>
      </c>
    </row>
    <row r="27" spans="1:12" ht="15.75" x14ac:dyDescent="0.25">
      <c r="A27" s="30" t="s">
        <v>25</v>
      </c>
      <c r="B27" s="33">
        <v>61</v>
      </c>
      <c r="C27" s="33">
        <v>64</v>
      </c>
      <c r="D27" s="33">
        <v>63</v>
      </c>
      <c r="E27" s="33">
        <v>56</v>
      </c>
      <c r="F27" s="33">
        <v>62</v>
      </c>
      <c r="G27" s="33">
        <v>65</v>
      </c>
      <c r="H27" s="34">
        <v>71</v>
      </c>
      <c r="J27" s="41">
        <f t="shared" si="1"/>
        <v>63.142857142857146</v>
      </c>
      <c r="K27" s="46">
        <f ca="1">J27*$K$30</f>
        <v>320.60785714285714</v>
      </c>
    </row>
    <row r="28" spans="1:12" ht="33.75" customHeight="1" thickBot="1" x14ac:dyDescent="0.3">
      <c r="A28" s="31" t="s">
        <v>32</v>
      </c>
      <c r="B28" s="35">
        <f t="shared" ref="B28:F28" si="4">SUM(B3:B27)</f>
        <v>1712</v>
      </c>
      <c r="C28" s="35">
        <f t="shared" si="4"/>
        <v>1731</v>
      </c>
      <c r="D28" s="35">
        <f t="shared" si="4"/>
        <v>1703</v>
      </c>
      <c r="E28" s="35">
        <f t="shared" si="4"/>
        <v>1519</v>
      </c>
      <c r="F28" s="35">
        <f t="shared" si="4"/>
        <v>1607</v>
      </c>
      <c r="G28" s="35">
        <f t="shared" ref="G28" si="5">SUM(G3:G27)</f>
        <v>1650</v>
      </c>
      <c r="H28" s="36">
        <f>SUM(H3:H27)</f>
        <v>1577</v>
      </c>
      <c r="J28" s="42">
        <f>AVERAGE(J3:J27)</f>
        <v>65.708571428571432</v>
      </c>
      <c r="K28" s="49">
        <f ca="1">AVERAGE(K3:K27)</f>
        <v>333.63527142857146</v>
      </c>
    </row>
    <row r="29" spans="1:12" ht="15.75" thickBot="1" x14ac:dyDescent="0.3"/>
    <row r="30" spans="1:12" s="22" customFormat="1" ht="38.25" customHeight="1" thickBot="1" x14ac:dyDescent="0.3">
      <c r="A30" s="38" t="s">
        <v>40</v>
      </c>
      <c r="B30" s="39">
        <v>71.42</v>
      </c>
      <c r="C30" s="37"/>
      <c r="D30" s="37" t="s">
        <v>37</v>
      </c>
      <c r="E30" s="37"/>
      <c r="F30"/>
      <c r="G30"/>
      <c r="H30"/>
      <c r="I30"/>
      <c r="J30" s="47" t="e" vm="1">
        <v>#VALUE!</v>
      </c>
      <c r="K30" s="48" cm="1">
        <f t="array" aca="1" ref="K30" ca="1">_FV(J30,"Preço")</f>
        <v>5.0774999999999997</v>
      </c>
      <c r="L30" s="43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F682-0F62-49A6-9255-F88FF67EF935}">
  <dimension ref="A1:L30"/>
  <sheetViews>
    <sheetView workbookViewId="0">
      <selection activeCell="A30" sqref="A30"/>
    </sheetView>
  </sheetViews>
  <sheetFormatPr defaultRowHeight="15" x14ac:dyDescent="0.25"/>
  <cols>
    <col min="1" max="1" width="26.42578125" style="1" bestFit="1" customWidth="1"/>
    <col min="2" max="2" width="11.42578125" style="1" bestFit="1" customWidth="1"/>
    <col min="3" max="4" width="11.5703125" style="1" bestFit="1" customWidth="1"/>
    <col min="5" max="7" width="11.42578125" style="1" bestFit="1" customWidth="1"/>
    <col min="8" max="8" width="11.5703125" style="1" bestFit="1" customWidth="1"/>
    <col min="9" max="9" width="9.140625" style="1"/>
    <col min="10" max="10" width="17.85546875" style="1" customWidth="1"/>
    <col min="11" max="11" width="17.85546875" style="1" bestFit="1" customWidth="1"/>
    <col min="12" max="12" width="11.5703125" style="1" bestFit="1" customWidth="1"/>
    <col min="13" max="16384" width="9.140625" style="1"/>
  </cols>
  <sheetData>
    <row r="1" spans="1:11" ht="32.25" customHeight="1" thickBot="1" x14ac:dyDescent="0.3">
      <c r="A1" s="61" t="s">
        <v>38</v>
      </c>
      <c r="B1" s="62"/>
      <c r="C1" s="62"/>
      <c r="D1" s="62"/>
      <c r="E1" s="62"/>
      <c r="F1" s="62"/>
      <c r="G1" s="62"/>
      <c r="H1" s="63"/>
    </row>
    <row r="2" spans="1:11" ht="31.5" customHeight="1" thickBot="1" x14ac:dyDescent="0.3">
      <c r="A2" s="28"/>
      <c r="B2" s="6" t="s">
        <v>43</v>
      </c>
      <c r="C2" s="6" t="s">
        <v>44</v>
      </c>
      <c r="D2" s="6" t="s">
        <v>45</v>
      </c>
      <c r="E2" s="6" t="s">
        <v>46</v>
      </c>
      <c r="F2" s="6" t="s">
        <v>47</v>
      </c>
      <c r="G2" s="6" t="s">
        <v>48</v>
      </c>
      <c r="H2" s="29" t="s">
        <v>49</v>
      </c>
      <c r="J2" s="32" t="s">
        <v>42</v>
      </c>
      <c r="K2" s="44" t="s">
        <v>41</v>
      </c>
    </row>
    <row r="3" spans="1:11" ht="15.75" x14ac:dyDescent="0.25">
      <c r="A3" s="30" t="s">
        <v>8</v>
      </c>
      <c r="B3" s="33">
        <v>113</v>
      </c>
      <c r="C3" s="33">
        <v>114</v>
      </c>
      <c r="D3" s="33">
        <v>110</v>
      </c>
      <c r="E3" s="33">
        <v>108</v>
      </c>
      <c r="F3" s="33">
        <v>109</v>
      </c>
      <c r="G3" s="33">
        <v>110</v>
      </c>
      <c r="H3" s="33">
        <v>102</v>
      </c>
      <c r="J3" s="40">
        <f t="shared" ref="J3:J27" si="0">AVERAGE(B3:H3)</f>
        <v>109.42857142857143</v>
      </c>
      <c r="K3" s="45">
        <f t="shared" ref="K3:K27" ca="1" si="1">J3*$K$30</f>
        <v>555.62357142857138</v>
      </c>
    </row>
    <row r="4" spans="1:11" ht="15.75" x14ac:dyDescent="0.25">
      <c r="A4" s="30" t="s">
        <v>17</v>
      </c>
      <c r="B4" s="33">
        <v>66</v>
      </c>
      <c r="C4" s="33">
        <v>68</v>
      </c>
      <c r="D4" s="33">
        <v>62</v>
      </c>
      <c r="E4" s="33">
        <v>59</v>
      </c>
      <c r="F4" s="33">
        <v>61</v>
      </c>
      <c r="G4" s="33">
        <v>64</v>
      </c>
      <c r="H4" s="33">
        <v>58</v>
      </c>
      <c r="J4" s="41">
        <f t="shared" si="0"/>
        <v>62.571428571428569</v>
      </c>
      <c r="K4" s="46">
        <f t="shared" ca="1" si="1"/>
        <v>317.70642857142855</v>
      </c>
    </row>
    <row r="5" spans="1:11" ht="15.75" x14ac:dyDescent="0.25">
      <c r="A5" s="30" t="s">
        <v>30</v>
      </c>
      <c r="B5" s="33">
        <v>50</v>
      </c>
      <c r="C5" s="33">
        <v>50</v>
      </c>
      <c r="D5" s="33">
        <v>49</v>
      </c>
      <c r="E5" s="33">
        <v>47</v>
      </c>
      <c r="F5" s="33">
        <v>58</v>
      </c>
      <c r="G5" s="33">
        <v>59</v>
      </c>
      <c r="H5" s="33">
        <v>53</v>
      </c>
      <c r="J5" s="41">
        <f t="shared" si="0"/>
        <v>52.285714285714285</v>
      </c>
      <c r="K5" s="46">
        <f t="shared" ca="1" si="1"/>
        <v>265.48071428571427</v>
      </c>
    </row>
    <row r="6" spans="1:11" ht="15.75" x14ac:dyDescent="0.25">
      <c r="A6" s="30" t="s">
        <v>14</v>
      </c>
      <c r="B6" s="33">
        <v>46</v>
      </c>
      <c r="C6" s="33">
        <v>47</v>
      </c>
      <c r="D6" s="33">
        <v>46</v>
      </c>
      <c r="E6" s="33">
        <v>44</v>
      </c>
      <c r="F6" s="33">
        <v>47</v>
      </c>
      <c r="G6" s="33">
        <v>48</v>
      </c>
      <c r="H6" s="33">
        <v>45</v>
      </c>
      <c r="J6" s="41">
        <f t="shared" si="0"/>
        <v>46.142857142857146</v>
      </c>
      <c r="K6" s="46">
        <f t="shared" ca="1" si="1"/>
        <v>234.29035714285715</v>
      </c>
    </row>
    <row r="7" spans="1:11" ht="15.75" x14ac:dyDescent="0.25">
      <c r="A7" s="30" t="s">
        <v>9</v>
      </c>
      <c r="B7" s="33">
        <v>81</v>
      </c>
      <c r="C7" s="33">
        <v>84</v>
      </c>
      <c r="D7" s="33">
        <v>83</v>
      </c>
      <c r="E7" s="33">
        <v>80</v>
      </c>
      <c r="F7" s="33">
        <v>81</v>
      </c>
      <c r="G7" s="33">
        <v>82</v>
      </c>
      <c r="H7" s="33">
        <v>78</v>
      </c>
      <c r="J7" s="41">
        <f t="shared" si="0"/>
        <v>81.285714285714292</v>
      </c>
      <c r="K7" s="46">
        <f t="shared" ca="1" si="1"/>
        <v>412.72821428571427</v>
      </c>
    </row>
    <row r="8" spans="1:11" ht="15.75" x14ac:dyDescent="0.25">
      <c r="A8" s="30" t="s">
        <v>16</v>
      </c>
      <c r="B8" s="33">
        <v>64</v>
      </c>
      <c r="C8" s="33">
        <v>65</v>
      </c>
      <c r="D8" s="33">
        <v>63</v>
      </c>
      <c r="E8" s="33">
        <v>60</v>
      </c>
      <c r="F8" s="33">
        <v>61</v>
      </c>
      <c r="G8" s="33">
        <v>63</v>
      </c>
      <c r="H8" s="33">
        <v>58</v>
      </c>
      <c r="J8" s="41">
        <f t="shared" si="0"/>
        <v>62</v>
      </c>
      <c r="K8" s="46">
        <f t="shared" ca="1" si="1"/>
        <v>314.80500000000001</v>
      </c>
    </row>
    <row r="9" spans="1:11" ht="15.75" x14ac:dyDescent="0.25">
      <c r="A9" s="30" t="s">
        <v>24</v>
      </c>
      <c r="B9" s="33">
        <v>75</v>
      </c>
      <c r="C9" s="33">
        <v>88</v>
      </c>
      <c r="D9" s="33">
        <v>91</v>
      </c>
      <c r="E9" s="33">
        <v>76</v>
      </c>
      <c r="F9" s="33">
        <v>93</v>
      </c>
      <c r="G9" s="33">
        <v>93</v>
      </c>
      <c r="H9" s="33">
        <v>88</v>
      </c>
      <c r="J9" s="41">
        <f t="shared" si="0"/>
        <v>86.285714285714292</v>
      </c>
      <c r="K9" s="46">
        <f t="shared" ca="1" si="1"/>
        <v>438.11571428571426</v>
      </c>
    </row>
    <row r="10" spans="1:11" ht="15.75" x14ac:dyDescent="0.25">
      <c r="A10" s="30" t="s">
        <v>15</v>
      </c>
      <c r="B10" s="33">
        <v>58</v>
      </c>
      <c r="C10" s="33">
        <v>59</v>
      </c>
      <c r="D10" s="33">
        <v>52</v>
      </c>
      <c r="E10" s="33">
        <v>48</v>
      </c>
      <c r="F10" s="33">
        <v>55</v>
      </c>
      <c r="G10" s="33">
        <v>55</v>
      </c>
      <c r="H10" s="33">
        <v>52</v>
      </c>
      <c r="J10" s="41">
        <f t="shared" si="0"/>
        <v>54.142857142857146</v>
      </c>
      <c r="K10" s="46">
        <f t="shared" ca="1" si="1"/>
        <v>274.91035714285715</v>
      </c>
    </row>
    <row r="11" spans="1:11" ht="15.75" x14ac:dyDescent="0.25">
      <c r="A11" s="30" t="s">
        <v>23</v>
      </c>
      <c r="B11" s="33">
        <v>71</v>
      </c>
      <c r="C11" s="33">
        <v>71</v>
      </c>
      <c r="D11" s="33">
        <v>66</v>
      </c>
      <c r="E11" s="33">
        <v>71</v>
      </c>
      <c r="F11" s="33">
        <v>71</v>
      </c>
      <c r="G11" s="33">
        <v>76</v>
      </c>
      <c r="H11" s="33">
        <v>76</v>
      </c>
      <c r="J11" s="41">
        <f t="shared" si="0"/>
        <v>71.714285714285708</v>
      </c>
      <c r="K11" s="46">
        <f t="shared" ca="1" si="1"/>
        <v>364.12928571428569</v>
      </c>
    </row>
    <row r="12" spans="1:11" ht="15.75" x14ac:dyDescent="0.25">
      <c r="A12" s="30" t="s">
        <v>10</v>
      </c>
      <c r="B12" s="33">
        <v>132</v>
      </c>
      <c r="C12" s="33">
        <v>135</v>
      </c>
      <c r="D12" s="33">
        <v>134</v>
      </c>
      <c r="E12" s="33">
        <v>131</v>
      </c>
      <c r="F12" s="33">
        <v>125</v>
      </c>
      <c r="G12" s="33">
        <v>125</v>
      </c>
      <c r="H12" s="33">
        <v>119</v>
      </c>
      <c r="J12" s="41">
        <f t="shared" si="0"/>
        <v>128.71428571428572</v>
      </c>
      <c r="K12" s="46">
        <f t="shared" ca="1" si="1"/>
        <v>653.54678571428576</v>
      </c>
    </row>
    <row r="13" spans="1:11" ht="15.75" x14ac:dyDescent="0.25">
      <c r="A13" s="30" t="s">
        <v>20</v>
      </c>
      <c r="B13" s="33">
        <v>89</v>
      </c>
      <c r="C13" s="33">
        <v>96</v>
      </c>
      <c r="D13" s="33">
        <v>96</v>
      </c>
      <c r="E13" s="33">
        <v>89</v>
      </c>
      <c r="F13" s="33">
        <v>84</v>
      </c>
      <c r="G13" s="33">
        <v>84</v>
      </c>
      <c r="H13" s="33">
        <v>68</v>
      </c>
      <c r="J13" s="41">
        <f t="shared" si="0"/>
        <v>86.571428571428569</v>
      </c>
      <c r="K13" s="46">
        <f t="shared" ca="1" si="1"/>
        <v>439.56642857142856</v>
      </c>
    </row>
    <row r="14" spans="1:11" ht="15.75" x14ac:dyDescent="0.25">
      <c r="A14" s="30" t="s">
        <v>18</v>
      </c>
      <c r="B14" s="33">
        <v>323</v>
      </c>
      <c r="C14" s="33">
        <v>345</v>
      </c>
      <c r="D14" s="33">
        <v>345</v>
      </c>
      <c r="E14" s="33">
        <v>195</v>
      </c>
      <c r="F14" s="33">
        <v>251</v>
      </c>
      <c r="G14" s="33">
        <v>273</v>
      </c>
      <c r="H14" s="33">
        <v>256</v>
      </c>
      <c r="J14" s="41">
        <f t="shared" si="0"/>
        <v>284</v>
      </c>
      <c r="K14" s="46">
        <f t="shared" ca="1" si="1"/>
        <v>1442.01</v>
      </c>
    </row>
    <row r="15" spans="1:11" ht="15.75" x14ac:dyDescent="0.25">
      <c r="A15" s="30" t="s">
        <v>21</v>
      </c>
      <c r="B15" s="33">
        <v>125</v>
      </c>
      <c r="C15" s="33">
        <v>116</v>
      </c>
      <c r="D15" s="33">
        <v>116</v>
      </c>
      <c r="E15" s="33">
        <v>102</v>
      </c>
      <c r="F15" s="33">
        <v>88</v>
      </c>
      <c r="G15" s="33">
        <v>88</v>
      </c>
      <c r="H15" s="33">
        <v>84</v>
      </c>
      <c r="J15" s="41">
        <f t="shared" si="0"/>
        <v>102.71428571428571</v>
      </c>
      <c r="K15" s="46">
        <f t="shared" ca="1" si="1"/>
        <v>521.53178571428566</v>
      </c>
    </row>
    <row r="16" spans="1:11" ht="15.75" x14ac:dyDescent="0.25">
      <c r="A16" s="30" t="s">
        <v>31</v>
      </c>
      <c r="B16" s="33">
        <v>46</v>
      </c>
      <c r="C16" s="33">
        <v>46</v>
      </c>
      <c r="D16" s="33">
        <v>44</v>
      </c>
      <c r="E16" s="33">
        <v>44</v>
      </c>
      <c r="F16" s="33">
        <v>46</v>
      </c>
      <c r="G16" s="33">
        <v>46</v>
      </c>
      <c r="H16" s="33">
        <v>44</v>
      </c>
      <c r="J16" s="41">
        <f t="shared" si="0"/>
        <v>45.142857142857146</v>
      </c>
      <c r="K16" s="46">
        <f t="shared" ca="1" si="1"/>
        <v>229.21285714285713</v>
      </c>
    </row>
    <row r="17" spans="1:12" ht="15.75" x14ac:dyDescent="0.25">
      <c r="A17" s="30" t="s">
        <v>29</v>
      </c>
      <c r="B17" s="33">
        <v>55</v>
      </c>
      <c r="C17" s="33">
        <v>55</v>
      </c>
      <c r="D17" s="33">
        <v>54</v>
      </c>
      <c r="E17" s="33">
        <v>53</v>
      </c>
      <c r="F17" s="33">
        <v>53</v>
      </c>
      <c r="G17" s="33">
        <v>54</v>
      </c>
      <c r="H17" s="33">
        <v>53</v>
      </c>
      <c r="J17" s="41">
        <f t="shared" si="0"/>
        <v>53.857142857142854</v>
      </c>
      <c r="K17" s="46">
        <f t="shared" ca="1" si="1"/>
        <v>273.4596428571428</v>
      </c>
    </row>
    <row r="18" spans="1:12" ht="15.75" x14ac:dyDescent="0.25">
      <c r="A18" s="30" t="s">
        <v>22</v>
      </c>
      <c r="B18" s="33">
        <v>137</v>
      </c>
      <c r="C18" s="33">
        <v>138</v>
      </c>
      <c r="D18" s="33">
        <v>137</v>
      </c>
      <c r="E18" s="33">
        <v>131</v>
      </c>
      <c r="F18" s="33">
        <v>125</v>
      </c>
      <c r="G18" s="33">
        <v>124</v>
      </c>
      <c r="H18" s="33">
        <v>115</v>
      </c>
      <c r="J18" s="41">
        <f t="shared" si="0"/>
        <v>129.57142857142858</v>
      </c>
      <c r="K18" s="46">
        <f t="shared" ca="1" si="1"/>
        <v>657.89892857142854</v>
      </c>
    </row>
    <row r="19" spans="1:12" ht="15.75" x14ac:dyDescent="0.25">
      <c r="A19" s="30" t="s">
        <v>27</v>
      </c>
      <c r="B19" s="33">
        <v>81</v>
      </c>
      <c r="C19" s="33">
        <v>83</v>
      </c>
      <c r="D19" s="33">
        <v>81</v>
      </c>
      <c r="E19" s="33">
        <v>78</v>
      </c>
      <c r="F19" s="33">
        <v>73</v>
      </c>
      <c r="G19" s="33">
        <v>74</v>
      </c>
      <c r="H19" s="33">
        <v>73</v>
      </c>
      <c r="J19" s="41">
        <f t="shared" si="0"/>
        <v>77.571428571428569</v>
      </c>
      <c r="K19" s="46">
        <f t="shared" ca="1" si="1"/>
        <v>393.86892857142851</v>
      </c>
    </row>
    <row r="20" spans="1:12" ht="15.75" x14ac:dyDescent="0.25">
      <c r="A20" s="30" t="s">
        <v>11</v>
      </c>
      <c r="B20" s="33">
        <v>72</v>
      </c>
      <c r="C20" s="33">
        <v>76</v>
      </c>
      <c r="D20" s="33">
        <v>72</v>
      </c>
      <c r="E20" s="33">
        <v>69</v>
      </c>
      <c r="F20" s="33">
        <v>67</v>
      </c>
      <c r="G20" s="33">
        <v>67</v>
      </c>
      <c r="H20" s="33">
        <v>59</v>
      </c>
      <c r="J20" s="41">
        <f t="shared" si="0"/>
        <v>68.857142857142861</v>
      </c>
      <c r="K20" s="46">
        <f t="shared" ca="1" si="1"/>
        <v>349.62214285714288</v>
      </c>
    </row>
    <row r="21" spans="1:12" ht="15.75" x14ac:dyDescent="0.25">
      <c r="A21" s="30" t="s">
        <v>26</v>
      </c>
      <c r="B21" s="33">
        <v>37</v>
      </c>
      <c r="C21" s="33">
        <v>37</v>
      </c>
      <c r="D21" s="33">
        <v>41</v>
      </c>
      <c r="E21" s="33">
        <v>23</v>
      </c>
      <c r="F21" s="33">
        <v>25</v>
      </c>
      <c r="G21" s="33">
        <v>25</v>
      </c>
      <c r="H21" s="33">
        <v>23</v>
      </c>
      <c r="J21" s="41">
        <f t="shared" si="0"/>
        <v>30.142857142857142</v>
      </c>
      <c r="K21" s="46">
        <f t="shared" ca="1" si="1"/>
        <v>153.05035714285714</v>
      </c>
    </row>
    <row r="22" spans="1:12" ht="15.75" x14ac:dyDescent="0.25">
      <c r="A22" s="30" t="s">
        <v>13</v>
      </c>
      <c r="B22" s="33">
        <v>51</v>
      </c>
      <c r="C22" s="33">
        <v>53</v>
      </c>
      <c r="D22" s="33">
        <v>54</v>
      </c>
      <c r="E22" s="33">
        <v>53</v>
      </c>
      <c r="F22" s="33">
        <v>53</v>
      </c>
      <c r="G22" s="33">
        <v>55</v>
      </c>
      <c r="H22" s="33">
        <v>54</v>
      </c>
      <c r="J22" s="41">
        <f t="shared" si="0"/>
        <v>53.285714285714285</v>
      </c>
      <c r="K22" s="46">
        <f t="shared" ca="1" si="1"/>
        <v>270.55821428571426</v>
      </c>
    </row>
    <row r="23" spans="1:12" ht="15.75" x14ac:dyDescent="0.25">
      <c r="A23" s="30" t="s">
        <v>50</v>
      </c>
      <c r="B23" s="33">
        <v>68</v>
      </c>
      <c r="C23" s="33">
        <v>68</v>
      </c>
      <c r="D23" s="33">
        <v>64</v>
      </c>
      <c r="E23" s="33">
        <v>61</v>
      </c>
      <c r="F23" s="33">
        <v>66</v>
      </c>
      <c r="G23" s="33">
        <v>65</v>
      </c>
      <c r="H23" s="33">
        <v>61</v>
      </c>
      <c r="J23" s="41">
        <f t="shared" si="0"/>
        <v>64.714285714285708</v>
      </c>
      <c r="K23" s="46">
        <f t="shared" ca="1" si="1"/>
        <v>328.58678571428567</v>
      </c>
    </row>
    <row r="24" spans="1:12" ht="15.75" x14ac:dyDescent="0.25">
      <c r="A24" s="30" t="s">
        <v>12</v>
      </c>
      <c r="B24" s="33">
        <v>95</v>
      </c>
      <c r="C24" s="33">
        <v>73</v>
      </c>
      <c r="D24" s="33">
        <v>60</v>
      </c>
      <c r="E24" s="33">
        <v>49</v>
      </c>
      <c r="F24" s="33">
        <v>66</v>
      </c>
      <c r="G24" s="33">
        <v>66</v>
      </c>
      <c r="H24" s="33">
        <v>44</v>
      </c>
      <c r="J24" s="41">
        <f t="shared" si="0"/>
        <v>64.714285714285708</v>
      </c>
      <c r="K24" s="46">
        <f t="shared" ca="1" si="1"/>
        <v>328.58678571428567</v>
      </c>
    </row>
    <row r="25" spans="1:12" ht="15.75" x14ac:dyDescent="0.25">
      <c r="A25" s="30" t="s">
        <v>51</v>
      </c>
      <c r="B25" s="33">
        <v>63</v>
      </c>
      <c r="C25" s="33">
        <v>67</v>
      </c>
      <c r="D25" s="33">
        <v>64</v>
      </c>
      <c r="E25" s="33">
        <v>64</v>
      </c>
      <c r="F25" s="33">
        <v>64</v>
      </c>
      <c r="G25" s="33">
        <v>69</v>
      </c>
      <c r="H25" s="33">
        <v>68</v>
      </c>
      <c r="J25" s="41">
        <f t="shared" si="0"/>
        <v>65.571428571428569</v>
      </c>
      <c r="K25" s="46">
        <f t="shared" ca="1" si="1"/>
        <v>332.93892857142856</v>
      </c>
    </row>
    <row r="26" spans="1:12" ht="15.75" x14ac:dyDescent="0.25">
      <c r="A26" s="30" t="s">
        <v>28</v>
      </c>
      <c r="B26" s="33">
        <v>63</v>
      </c>
      <c r="C26" s="33">
        <v>69</v>
      </c>
      <c r="D26" s="33">
        <v>69</v>
      </c>
      <c r="E26" s="33">
        <v>80</v>
      </c>
      <c r="F26" s="33">
        <v>64</v>
      </c>
      <c r="G26" s="33">
        <v>69</v>
      </c>
      <c r="H26" s="33">
        <v>73</v>
      </c>
      <c r="J26" s="41">
        <f t="shared" si="0"/>
        <v>69.571428571428569</v>
      </c>
      <c r="K26" s="46">
        <f t="shared" ca="1" si="1"/>
        <v>353.24892857142856</v>
      </c>
    </row>
    <row r="27" spans="1:12" ht="15.75" x14ac:dyDescent="0.25">
      <c r="A27" s="30" t="s">
        <v>25</v>
      </c>
      <c r="B27" s="33">
        <v>68</v>
      </c>
      <c r="C27" s="33">
        <v>69</v>
      </c>
      <c r="D27" s="33">
        <v>68</v>
      </c>
      <c r="E27" s="33">
        <v>51</v>
      </c>
      <c r="F27" s="33">
        <v>60</v>
      </c>
      <c r="G27" s="33">
        <v>61</v>
      </c>
      <c r="H27" s="33">
        <v>61</v>
      </c>
      <c r="J27" s="41">
        <f t="shared" si="0"/>
        <v>62.571428571428569</v>
      </c>
      <c r="K27" s="46">
        <f t="shared" ca="1" si="1"/>
        <v>317.70642857142855</v>
      </c>
    </row>
    <row r="28" spans="1:12" ht="33.75" customHeight="1" thickBot="1" x14ac:dyDescent="0.3">
      <c r="A28" s="31" t="s">
        <v>32</v>
      </c>
      <c r="B28" s="35">
        <f t="shared" ref="B28:G28" si="2">SUM(B3:B27)</f>
        <v>2129</v>
      </c>
      <c r="C28" s="35">
        <f t="shared" si="2"/>
        <v>2172</v>
      </c>
      <c r="D28" s="35">
        <f t="shared" si="2"/>
        <v>2121</v>
      </c>
      <c r="E28" s="35">
        <f t="shared" si="2"/>
        <v>1866</v>
      </c>
      <c r="F28" s="35">
        <f t="shared" si="2"/>
        <v>1946</v>
      </c>
      <c r="G28" s="35">
        <f t="shared" si="2"/>
        <v>1995</v>
      </c>
      <c r="H28" s="36">
        <f>SUM(H3:H27)</f>
        <v>1865</v>
      </c>
      <c r="J28" s="42">
        <f>AVERAGE(J3:J27)</f>
        <v>80.537142857142868</v>
      </c>
      <c r="K28" s="49">
        <f ca="1">AVERAGE(K3:K27)</f>
        <v>408.92734285714278</v>
      </c>
    </row>
    <row r="29" spans="1:12" ht="15.75" thickBot="1" x14ac:dyDescent="0.3"/>
    <row r="30" spans="1:12" s="22" customFormat="1" ht="38.25" customHeight="1" thickBot="1" x14ac:dyDescent="0.3">
      <c r="A30" s="38" t="s">
        <v>40</v>
      </c>
      <c r="B30" s="39">
        <v>0</v>
      </c>
      <c r="C30" s="37"/>
      <c r="D30" s="37" t="s">
        <v>37</v>
      </c>
      <c r="E30" s="37"/>
      <c r="F30"/>
      <c r="G30"/>
      <c r="H30"/>
      <c r="I30"/>
      <c r="J30" s="47" t="e" vm="1">
        <v>#VALUE!</v>
      </c>
      <c r="K30" s="48" cm="1">
        <f t="array" aca="1" ref="K30" ca="1">_FV(J30,"Preço")</f>
        <v>5.0774999999999997</v>
      </c>
      <c r="L30" s="43"/>
    </row>
  </sheetData>
  <sortState xmlns:xlrd2="http://schemas.microsoft.com/office/spreadsheetml/2017/richdata2" ref="A3:L27">
    <sortCondition ref="A3:A27"/>
  </sortState>
  <mergeCells count="1">
    <mergeCell ref="A1:H1"/>
  </mergeCells>
  <phoneticPr fontId="3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a72aad-9dbe-4921-b7cc-866bd6bef448">
      <Terms xmlns="http://schemas.microsoft.com/office/infopath/2007/PartnerControls"/>
    </lcf76f155ced4ddcb4097134ff3c332f>
    <TaxCatchAll xmlns="e40a93b1-623e-43ff-b6f0-2299ceb0393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2E676D57C68B4085E9E6661115B264" ma:contentTypeVersion="12" ma:contentTypeDescription="Crie um novo documento." ma:contentTypeScope="" ma:versionID="1cd7cb7fa912571f1d25e6d95a66f803">
  <xsd:schema xmlns:xsd="http://www.w3.org/2001/XMLSchema" xmlns:xs="http://www.w3.org/2001/XMLSchema" xmlns:p="http://schemas.microsoft.com/office/2006/metadata/properties" xmlns:ns2="33a72aad-9dbe-4921-b7cc-866bd6bef448" xmlns:ns3="e40a93b1-623e-43ff-b6f0-2299ceb0393a" targetNamespace="http://schemas.microsoft.com/office/2006/metadata/properties" ma:root="true" ma:fieldsID="17d22c09ad9bc8ab3eb2703f679530b0" ns2:_="" ns3:_="">
    <xsd:import namespace="33a72aad-9dbe-4921-b7cc-866bd6bef448"/>
    <xsd:import namespace="e40a93b1-623e-43ff-b6f0-2299ceb03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2aad-9dbe-4921-b7cc-866bd6bef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481ad-c882-4a20-a0b0-e4a7aab26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a93b1-623e-43ff-b6f0-2299ceb03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577391-ee92-4dc1-8ff8-f2a35b3181be}" ma:internalName="TaxCatchAll" ma:showField="CatchAllData" ma:web="e40a93b1-623e-43ff-b6f0-2299ceb03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B6DFA1-3F04-4F42-B6C7-8CCE9D2EA7FB}">
  <ds:schemaRefs>
    <ds:schemaRef ds:uri="http://schemas.microsoft.com/office/2006/metadata/properties"/>
    <ds:schemaRef ds:uri="http://schemas.microsoft.com/office/infopath/2007/PartnerControls"/>
    <ds:schemaRef ds:uri="0b5942ab-51f0-4642-b529-ffe446389e7d"/>
    <ds:schemaRef ds:uri="ac9af8dc-a667-4541-b882-964aefd50f58"/>
    <ds:schemaRef ds:uri="33a72aad-9dbe-4921-b7cc-866bd6bef448"/>
    <ds:schemaRef ds:uri="e40a93b1-623e-43ff-b6f0-2299ceb0393a"/>
  </ds:schemaRefs>
</ds:datastoreItem>
</file>

<file path=customXml/itemProps2.xml><?xml version="1.0" encoding="utf-8"?>
<ds:datastoreItem xmlns:ds="http://schemas.openxmlformats.org/officeDocument/2006/customXml" ds:itemID="{2988A93A-6E51-40DE-8253-9DD4896EE6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a72aad-9dbe-4921-b7cc-866bd6bef448"/>
    <ds:schemaRef ds:uri="e40a93b1-623e-43ff-b6f0-2299ceb03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F1D57B-B1A4-4E4B-B6A1-6E76D22F9E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OCUPAÇÃO 2024</vt:lpstr>
      <vt:lpstr>OCUPAÇÃO 2026</vt:lpstr>
      <vt:lpstr>DIÁRIA MÉDIA 2024</vt:lpstr>
      <vt:lpstr>DIÁRIA MÉDIA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Souza</dc:creator>
  <cp:lastModifiedBy>Julie Souza</cp:lastModifiedBy>
  <cp:lastPrinted>2026-06-08T19:01:11Z</cp:lastPrinted>
  <dcterms:created xsi:type="dcterms:W3CDTF">2024-07-26T16:12:39Z</dcterms:created>
  <dcterms:modified xsi:type="dcterms:W3CDTF">2026-06-16T13:22:54Z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0x010100852E676D57C68B4085E9E6661115B264</vt:lpwstr>
  </property>
  <property fmtid="{D5CDD505-2E9C-101B-9397-08002B2CF9AE}" pid="3" name="MediaServiceImageTags">
    <vt:lpwstr/>
  </property>
</Properties>
</file>