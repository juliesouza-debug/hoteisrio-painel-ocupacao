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hoteisrio01.sharepoint.com/sites/HOTEISRIO2026/Documentos Compartilhados/ESTATÍSTICA/PESQUISA AIRDNA/"/>
    </mc:Choice>
  </mc:AlternateContent>
  <xr:revisionPtr revIDLastSave="1" documentId="13_ncr:1_{428539A9-A46B-4A34-87B3-020E89259270}" xr6:coauthVersionLast="47" xr6:coauthVersionMax="47" xr10:uidLastSave="{8853FBDF-84EA-4347-BE63-FE3DF5B9286D}"/>
  <bookViews>
    <workbookView xWindow="28680" yWindow="-120" windowWidth="29040" windowHeight="15720" xr2:uid="{00000000-000D-0000-FFFF-FFFF00000000}"/>
  </bookViews>
  <sheets>
    <sheet name="Anos 2018-19-20-21-22-23-24-25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3" l="1"/>
  <c r="O11" i="3" s="1"/>
  <c r="P10" i="3"/>
  <c r="O10" i="3" s="1"/>
  <c r="P9" i="3"/>
  <c r="O9" i="3" s="1"/>
  <c r="P8" i="3"/>
  <c r="O8" i="3"/>
  <c r="P7" i="3"/>
  <c r="O7" i="3"/>
  <c r="P6" i="3"/>
  <c r="O6" i="3"/>
  <c r="P22" i="3"/>
  <c r="O22" i="3" s="1"/>
  <c r="P27" i="3"/>
  <c r="O27" i="3" s="1"/>
  <c r="P26" i="3"/>
  <c r="O26" i="3" s="1"/>
  <c r="P25" i="3"/>
  <c r="O25" i="3" s="1"/>
  <c r="P24" i="3"/>
  <c r="O24" i="3" s="1"/>
  <c r="P23" i="3"/>
  <c r="O23" i="3" s="1"/>
  <c r="O95" i="3"/>
  <c r="O94" i="3"/>
  <c r="O93" i="3"/>
  <c r="O92" i="3"/>
  <c r="O91" i="3"/>
  <c r="O90" i="3"/>
  <c r="P83" i="3"/>
  <c r="O83" i="3" s="1"/>
  <c r="P82" i="3"/>
  <c r="O82" i="3" s="1"/>
  <c r="P81" i="3"/>
  <c r="O81" i="3" s="1"/>
  <c r="P80" i="3"/>
  <c r="O80" i="3" s="1"/>
  <c r="P79" i="3"/>
  <c r="O79" i="3" s="1"/>
  <c r="P78" i="3"/>
  <c r="O78" i="3" s="1"/>
  <c r="P70" i="3"/>
  <c r="O70" i="3" s="1"/>
  <c r="P69" i="3"/>
  <c r="O69" i="3" s="1"/>
  <c r="P68" i="3"/>
  <c r="O68" i="3" s="1"/>
  <c r="P67" i="3"/>
  <c r="O67" i="3" s="1"/>
  <c r="P66" i="3"/>
  <c r="O66" i="3" s="1"/>
  <c r="P65" i="3"/>
  <c r="O65" i="3" s="1"/>
  <c r="P56" i="3"/>
  <c r="O56" i="3" s="1"/>
  <c r="P55" i="3"/>
  <c r="O55" i="3" s="1"/>
  <c r="P54" i="3"/>
  <c r="O54" i="3" s="1"/>
  <c r="P53" i="3"/>
  <c r="O53" i="3" s="1"/>
  <c r="P52" i="3"/>
  <c r="O52" i="3" s="1"/>
  <c r="P51" i="3"/>
  <c r="O51" i="3" s="1"/>
  <c r="P42" i="3"/>
  <c r="O42" i="3" s="1"/>
  <c r="P41" i="3"/>
  <c r="O41" i="3" s="1"/>
  <c r="P40" i="3"/>
  <c r="O40" i="3" s="1"/>
  <c r="P39" i="3"/>
  <c r="O39" i="3" s="1"/>
  <c r="P38" i="3"/>
  <c r="O38" i="3" s="1"/>
  <c r="P37" i="3"/>
  <c r="O37" i="3" s="1"/>
</calcChain>
</file>

<file path=xl/sharedStrings.xml><?xml version="1.0" encoding="utf-8"?>
<sst xmlns="http://schemas.openxmlformats.org/spreadsheetml/2006/main" count="282" uniqueCount="58">
  <si>
    <t>REGIÃO</t>
  </si>
  <si>
    <t>Média</t>
  </si>
  <si>
    <t>Ocupação (%)</t>
  </si>
  <si>
    <t>Barra da Tijuca / 
São Conrado</t>
  </si>
  <si>
    <t>Ipanema / 
Leblon</t>
  </si>
  <si>
    <t>Leme /
Copacabana</t>
  </si>
  <si>
    <t>Flamengo /
Botafogo</t>
  </si>
  <si>
    <t>Centro</t>
  </si>
  <si>
    <t>MÉDIA</t>
  </si>
  <si>
    <t>Fonte: Hotéis Rio</t>
  </si>
  <si>
    <t>TAXA DE OCUPAÇÃO HOTELEIRA CIDADE DO RIO DE JANEIRO - ANO 2025</t>
  </si>
  <si>
    <t>Ocupação 
(%)</t>
  </si>
  <si>
    <t>Ocupação
 (%)</t>
  </si>
  <si>
    <t>jun</t>
  </si>
  <si>
    <t>jul</t>
  </si>
  <si>
    <t>ago</t>
  </si>
  <si>
    <t>set</t>
  </si>
  <si>
    <t>out</t>
  </si>
  <si>
    <t>nov</t>
  </si>
  <si>
    <t>dez</t>
  </si>
  <si>
    <t>Barra da Tijuca / 
Recreio</t>
  </si>
  <si>
    <t>MÉDIA (%)</t>
  </si>
  <si>
    <t>Fonte: HotéisRIO</t>
  </si>
  <si>
    <t>MÉDIAS</t>
  </si>
  <si>
    <t>JAN</t>
  </si>
  <si>
    <t>JAN-MAR</t>
  </si>
  <si>
    <t>JAN-MAI</t>
  </si>
  <si>
    <t>JAN-JUL</t>
  </si>
  <si>
    <t>JAN-SET</t>
  </si>
  <si>
    <t>JAN-NOV</t>
  </si>
  <si>
    <t>JAN-FEV</t>
  </si>
  <si>
    <t>JAN-ABR</t>
  </si>
  <si>
    <t>JAN-JUN</t>
  </si>
  <si>
    <t>JAN-AGO</t>
  </si>
  <si>
    <t>JAN-OUT</t>
  </si>
  <si>
    <t>JAN-DEZ</t>
  </si>
  <si>
    <t>TAXA DE OCUPAÇÃO HOTELEIRA CIDADE DO RIO DE JANEIRO - ANO 2024</t>
  </si>
  <si>
    <t>TAXA DE OCUPAÇÃO HOTELEIRA CIDADE DO RIO DE JANEIRO - ANO 2023</t>
  </si>
  <si>
    <t>atualizado em 09.01.2024</t>
  </si>
  <si>
    <t>Barra da Tijuca / Recreio/
São Conrado</t>
  </si>
  <si>
    <t>TAXA DE OCUPAÇÃO HOTELEIRA CIDADE DO RIO DE JANEIRO - ANO 2022</t>
  </si>
  <si>
    <t>atualizado em 24.02.2023</t>
  </si>
  <si>
    <t>TAXA DE OCUPAÇÃO HOTELEIRA CIDADE DO RIO DE JANEIRO - ANO 2021</t>
  </si>
  <si>
    <t>TAXA DE OCUPAÇÃO HOTELEIRA CIDADE DO RIO DE JANEIRO - ANO 2020</t>
  </si>
  <si>
    <t>*abr/20</t>
  </si>
  <si>
    <t>*mai/20</t>
  </si>
  <si>
    <t xml:space="preserve">Média </t>
  </si>
  <si>
    <t>Ocupação
(%)</t>
  </si>
  <si>
    <t>X</t>
  </si>
  <si>
    <t>* As pesquisas de ocupação hoteleira não foram realizadas nos meses de abril e maio, pois eram os primeiros meses da pandemia da Covid-19, quando os hotéis estavam se adaptando ao novo normal. Esses 2 meses não foram considerados nos cálculos da média anual.</t>
  </si>
  <si>
    <t>TAXA DE OCUPAÇÃO HOTELEIRA CIDADE DO RIO DE JANEIRO - ANO 2019</t>
  </si>
  <si>
    <t>TAXA DE OCUPAÇÃO HOTELEIRA CIDADE DO RIO DE JANEIRO - ANO 2018</t>
  </si>
  <si>
    <t>TAXA DE OCUPAÇÃO HOTELEIRA CIDADE DO RIO DE JANEIRO - ANO 2026</t>
  </si>
  <si>
    <t>Barra da Tijuca / 
Recreio/ São Conrado</t>
  </si>
  <si>
    <t>Gloria a
Botafogo</t>
  </si>
  <si>
    <t>Fonte: HotéisRIO 02.06.2026</t>
  </si>
  <si>
    <t xml:space="preserve">MÉDIAS </t>
  </si>
  <si>
    <t>ANUAIS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</si>
</sst>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</font>
    <font>
      <b/>
      <sz val="14"/>
      <color rgb="FF0000CC"/>
      <name val="Calibri"/>
      <family val="2"/>
    </font>
    <font>
      <b/>
      <sz val="12"/>
      <color theme="1"/>
      <name val="Calibri"/>
      <family val="2"/>
    </font>
    <font>
      <b/>
      <sz val="12"/>
      <color rgb="FF0000CC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</font>
    <font>
      <sz val="9"/>
      <color theme="1"/>
      <name val="Calibri"/>
      <family val="2"/>
      <scheme val="minor"/>
    </font>
    <font>
      <b/>
      <sz val="10"/>
      <color theme="4" tint="0.59999389629810485"/>
      <name val="Calibri"/>
      <family val="2"/>
    </font>
    <font>
      <b/>
      <sz val="12"/>
      <name val="Calibri"/>
      <family val="2"/>
    </font>
    <font>
      <b/>
      <sz val="10"/>
      <color rgb="FF002060"/>
      <name val="Ebrima"/>
    </font>
    <font>
      <b/>
      <sz val="9"/>
      <color theme="1"/>
      <name val="Calibri"/>
      <family val="2"/>
      <scheme val="minor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b/>
      <sz val="18"/>
      <color rgb="FF0000CC"/>
      <name val="Calibri"/>
      <family val="2"/>
    </font>
    <font>
      <b/>
      <sz val="10"/>
      <color rgb="FFBDD7EE"/>
      <name val="Calibri"/>
      <family val="2"/>
    </font>
    <font>
      <b/>
      <sz val="10"/>
      <color theme="1" tint="0.249977111117893"/>
      <name val="Calibri"/>
      <family val="2"/>
    </font>
    <font>
      <b/>
      <sz val="16"/>
      <color rgb="FF0000CC"/>
      <name val="Calibri"/>
      <family val="2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8FCB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4D1"/>
        <bgColor indexed="64"/>
      </patternFill>
    </fill>
    <fill>
      <patternFill patternType="solid">
        <fgColor rgb="FF98CBCE"/>
        <bgColor indexed="64"/>
      </patternFill>
    </fill>
    <fill>
      <patternFill patternType="solid">
        <fgColor rgb="FFF3FC9C"/>
        <bgColor indexed="64"/>
      </patternFill>
    </fill>
    <fill>
      <patternFill patternType="solid">
        <fgColor rgb="FFE63E4E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9EF6C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F1995D"/>
        <bgColor indexed="64"/>
      </patternFill>
    </fill>
    <fill>
      <patternFill patternType="solid">
        <fgColor rgb="FF1EEA71"/>
        <bgColor indexed="64"/>
      </patternFill>
    </fill>
    <fill>
      <patternFill patternType="solid">
        <fgColor rgb="FF71DCF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2" fontId="5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17" fontId="5" fillId="4" borderId="3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/>
    <xf numFmtId="17" fontId="5" fillId="4" borderId="7" xfId="0" applyNumberFormat="1" applyFont="1" applyFill="1" applyBorder="1" applyAlignment="1">
      <alignment horizontal="center" vertical="center" wrapText="1"/>
    </xf>
    <xf numFmtId="17" fontId="5" fillId="5" borderId="3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2" fontId="5" fillId="5" borderId="2" xfId="0" applyNumberFormat="1" applyFont="1" applyFill="1" applyBorder="1" applyAlignment="1">
      <alignment horizontal="center" vertical="center" wrapText="1"/>
    </xf>
    <xf numFmtId="2" fontId="6" fillId="5" borderId="2" xfId="0" applyNumberFormat="1" applyFont="1" applyFill="1" applyBorder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2" fillId="4" borderId="2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2" fontId="6" fillId="6" borderId="2" xfId="0" applyNumberFormat="1" applyFont="1" applyFill="1" applyBorder="1" applyAlignment="1">
      <alignment horizontal="center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2" fontId="6" fillId="2" borderId="1" xfId="0" applyNumberFormat="1" applyFont="1" applyFill="1" applyBorder="1" applyAlignment="1">
      <alignment horizontal="center" vertical="center" wrapText="1"/>
    </xf>
    <xf numFmtId="2" fontId="13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2" fontId="5" fillId="7" borderId="2" xfId="0" applyNumberFormat="1" applyFont="1" applyFill="1" applyBorder="1" applyAlignment="1">
      <alignment horizontal="center" vertical="center" wrapText="1"/>
    </xf>
    <xf numFmtId="2" fontId="13" fillId="7" borderId="1" xfId="0" applyNumberFormat="1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2" fontId="5" fillId="8" borderId="2" xfId="0" applyNumberFormat="1" applyFont="1" applyFill="1" applyBorder="1" applyAlignment="1">
      <alignment horizontal="center" vertical="center" wrapText="1"/>
    </xf>
    <xf numFmtId="17" fontId="5" fillId="9" borderId="3" xfId="0" applyNumberFormat="1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2" fontId="5" fillId="9" borderId="2" xfId="0" applyNumberFormat="1" applyFont="1" applyFill="1" applyBorder="1" applyAlignment="1">
      <alignment horizontal="center" vertical="center" wrapText="1"/>
    </xf>
    <xf numFmtId="2" fontId="4" fillId="9" borderId="2" xfId="0" applyNumberFormat="1" applyFont="1" applyFill="1" applyBorder="1" applyAlignment="1">
      <alignment horizontal="center" vertical="center" wrapText="1"/>
    </xf>
    <xf numFmtId="0" fontId="16" fillId="10" borderId="2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17" fontId="17" fillId="4" borderId="7" xfId="0" applyNumberFormat="1" applyFont="1" applyFill="1" applyBorder="1" applyAlignment="1">
      <alignment horizontal="center" vertical="center" wrapText="1"/>
    </xf>
    <xf numFmtId="17" fontId="17" fillId="4" borderId="3" xfId="0" applyNumberFormat="1" applyFont="1" applyFill="1" applyBorder="1" applyAlignment="1">
      <alignment horizontal="center" vertical="center" wrapText="1"/>
    </xf>
    <xf numFmtId="17" fontId="17" fillId="10" borderId="7" xfId="0" applyNumberFormat="1" applyFont="1" applyFill="1" applyBorder="1" applyAlignment="1">
      <alignment horizontal="center" vertical="center" wrapText="1"/>
    </xf>
    <xf numFmtId="0" fontId="17" fillId="4" borderId="3" xfId="0" applyFont="1" applyFill="1" applyBorder="1" applyAlignment="1">
      <alignment horizontal="center" vertical="center" wrapText="1"/>
    </xf>
    <xf numFmtId="2" fontId="13" fillId="8" borderId="2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2" fontId="13" fillId="9" borderId="2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right"/>
    </xf>
    <xf numFmtId="2" fontId="18" fillId="5" borderId="2" xfId="0" applyNumberFormat="1" applyFont="1" applyFill="1" applyBorder="1" applyAlignment="1">
      <alignment horizontal="center" vertical="center" wrapText="1"/>
    </xf>
    <xf numFmtId="17" fontId="5" fillId="12" borderId="7" xfId="0" applyNumberFormat="1" applyFont="1" applyFill="1" applyBorder="1" applyAlignment="1">
      <alignment horizontal="center" vertical="center" wrapText="1"/>
    </xf>
    <xf numFmtId="0" fontId="12" fillId="12" borderId="5" xfId="0" applyFont="1" applyFill="1" applyBorder="1" applyAlignment="1">
      <alignment horizontal="center" vertical="center" wrapText="1"/>
    </xf>
    <xf numFmtId="0" fontId="12" fillId="12" borderId="2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2" fontId="5" fillId="3" borderId="2" xfId="0" applyNumberFormat="1" applyFont="1" applyFill="1" applyBorder="1" applyAlignment="1">
      <alignment horizontal="center" vertical="center" wrapText="1"/>
    </xf>
    <xf numFmtId="17" fontId="5" fillId="3" borderId="3" xfId="0" applyNumberFormat="1" applyFont="1" applyFill="1" applyBorder="1" applyAlignment="1">
      <alignment horizontal="center" vertical="center" wrapText="1"/>
    </xf>
    <xf numFmtId="0" fontId="19" fillId="12" borderId="2" xfId="0" applyFont="1" applyFill="1" applyBorder="1" applyAlignment="1">
      <alignment horizontal="center" vertical="center" wrapText="1"/>
    </xf>
    <xf numFmtId="0" fontId="20" fillId="3" borderId="2" xfId="0" applyFont="1" applyFill="1" applyBorder="1" applyAlignment="1">
      <alignment horizontal="center" vertical="center" wrapText="1"/>
    </xf>
    <xf numFmtId="2" fontId="21" fillId="3" borderId="2" xfId="0" applyNumberFormat="1" applyFont="1" applyFill="1" applyBorder="1" applyAlignment="1">
      <alignment horizontal="center" vertical="center" wrapText="1"/>
    </xf>
    <xf numFmtId="0" fontId="0" fillId="13" borderId="0" xfId="0" applyFill="1"/>
    <xf numFmtId="0" fontId="0" fillId="14" borderId="0" xfId="0" applyFill="1"/>
    <xf numFmtId="0" fontId="0" fillId="11" borderId="0" xfId="0" applyFill="1"/>
    <xf numFmtId="0" fontId="0" fillId="15" borderId="0" xfId="0" applyFill="1"/>
    <xf numFmtId="0" fontId="0" fillId="16" borderId="0" xfId="0" applyFill="1"/>
    <xf numFmtId="0" fontId="20" fillId="17" borderId="2" xfId="0" applyFont="1" applyFill="1" applyBorder="1" applyAlignment="1">
      <alignment horizontal="center" vertical="center" wrapText="1"/>
    </xf>
    <xf numFmtId="2" fontId="21" fillId="17" borderId="2" xfId="0" applyNumberFormat="1" applyFont="1" applyFill="1" applyBorder="1" applyAlignment="1">
      <alignment horizontal="center" vertical="center" wrapText="1"/>
    </xf>
    <xf numFmtId="17" fontId="5" fillId="17" borderId="3" xfId="0" applyNumberFormat="1" applyFont="1" applyFill="1" applyBorder="1" applyAlignment="1">
      <alignment horizontal="center" vertical="center" wrapText="1"/>
    </xf>
    <xf numFmtId="17" fontId="13" fillId="13" borderId="7" xfId="0" applyNumberFormat="1" applyFont="1" applyFill="1" applyBorder="1" applyAlignment="1">
      <alignment horizontal="center" vertical="center" wrapText="1"/>
    </xf>
    <xf numFmtId="0" fontId="20" fillId="13" borderId="5" xfId="0" applyFont="1" applyFill="1" applyBorder="1" applyAlignment="1">
      <alignment horizontal="center" vertical="center" wrapText="1"/>
    </xf>
    <xf numFmtId="0" fontId="20" fillId="13" borderId="2" xfId="0" applyFont="1" applyFill="1" applyBorder="1" applyAlignment="1">
      <alignment horizontal="center" vertical="center" wrapText="1"/>
    </xf>
    <xf numFmtId="2" fontId="5" fillId="18" borderId="2" xfId="0" applyNumberFormat="1" applyFont="1" applyFill="1" applyBorder="1" applyAlignment="1">
      <alignment horizontal="center" vertical="center" wrapText="1"/>
    </xf>
    <xf numFmtId="2" fontId="13" fillId="18" borderId="2" xfId="0" applyNumberFormat="1" applyFont="1" applyFill="1" applyBorder="1" applyAlignment="1">
      <alignment horizontal="center" vertical="center" wrapText="1"/>
    </xf>
    <xf numFmtId="2" fontId="6" fillId="9" borderId="1" xfId="0" applyNumberFormat="1" applyFont="1" applyFill="1" applyBorder="1" applyAlignment="1">
      <alignment horizontal="center" vertical="center" wrapText="1"/>
    </xf>
    <xf numFmtId="0" fontId="7" fillId="19" borderId="2" xfId="0" applyFont="1" applyFill="1" applyBorder="1" applyAlignment="1">
      <alignment horizontal="center" vertical="center" wrapText="1"/>
    </xf>
    <xf numFmtId="2" fontId="5" fillId="19" borderId="2" xfId="0" applyNumberFormat="1" applyFont="1" applyFill="1" applyBorder="1" applyAlignment="1">
      <alignment horizontal="center" vertical="center" wrapText="1"/>
    </xf>
    <xf numFmtId="0" fontId="13" fillId="17" borderId="2" xfId="0" applyFont="1" applyFill="1" applyBorder="1" applyAlignment="1">
      <alignment horizontal="center" vertical="center" wrapText="1"/>
    </xf>
    <xf numFmtId="0" fontId="7" fillId="19" borderId="0" xfId="0" applyFont="1" applyFill="1" applyAlignment="1">
      <alignment horizontal="center" vertical="center" wrapText="1"/>
    </xf>
    <xf numFmtId="2" fontId="5" fillId="20" borderId="0" xfId="0" applyNumberFormat="1" applyFont="1" applyFill="1" applyAlignment="1">
      <alignment horizontal="center" vertical="center" wrapText="1"/>
    </xf>
    <xf numFmtId="0" fontId="8" fillId="20" borderId="0" xfId="0" applyFont="1" applyFill="1"/>
    <xf numFmtId="0" fontId="22" fillId="21" borderId="0" xfId="0" applyFont="1" applyFill="1"/>
    <xf numFmtId="0" fontId="8" fillId="20" borderId="0" xfId="0" applyFont="1" applyFill="1" applyAlignment="1">
      <alignment horizontal="center"/>
    </xf>
    <xf numFmtId="0" fontId="8" fillId="0" borderId="0" xfId="0" applyFont="1"/>
    <xf numFmtId="0" fontId="13" fillId="22" borderId="2" xfId="0" applyFont="1" applyFill="1" applyBorder="1" applyAlignment="1">
      <alignment horizontal="center" vertical="center" wrapText="1"/>
    </xf>
    <xf numFmtId="2" fontId="6" fillId="23" borderId="1" xfId="0" applyNumberFormat="1" applyFont="1" applyFill="1" applyBorder="1" applyAlignment="1">
      <alignment horizontal="center" vertical="center" wrapText="1"/>
    </xf>
    <xf numFmtId="17" fontId="13" fillId="24" borderId="7" xfId="0" applyNumberFormat="1" applyFont="1" applyFill="1" applyBorder="1" applyAlignment="1">
      <alignment horizontal="center" vertical="center" wrapText="1"/>
    </xf>
    <xf numFmtId="0" fontId="20" fillId="24" borderId="5" xfId="0" applyFont="1" applyFill="1" applyBorder="1" applyAlignment="1">
      <alignment horizontal="center" vertical="center" wrapText="1"/>
    </xf>
    <xf numFmtId="0" fontId="20" fillId="24" borderId="2" xfId="0" applyFont="1" applyFill="1" applyBorder="1" applyAlignment="1">
      <alignment horizontal="center" vertical="center" wrapText="1"/>
    </xf>
    <xf numFmtId="0" fontId="15" fillId="0" borderId="8" xfId="0" applyFont="1" applyBorder="1" applyAlignment="1">
      <alignment horizontal="right"/>
    </xf>
    <xf numFmtId="0" fontId="7" fillId="22" borderId="3" xfId="0" applyFont="1" applyFill="1" applyBorder="1" applyAlignment="1">
      <alignment horizontal="center" vertical="center" wrapText="1"/>
    </xf>
    <xf numFmtId="0" fontId="7" fillId="2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2" fillId="4" borderId="0" xfId="0" applyFont="1" applyFill="1"/>
    <xf numFmtId="2" fontId="24" fillId="25" borderId="2" xfId="0" applyNumberFormat="1" applyFont="1" applyFill="1" applyBorder="1" applyAlignment="1">
      <alignment horizontal="center" vertical="center" wrapText="1"/>
    </xf>
    <xf numFmtId="0" fontId="23" fillId="4" borderId="0" xfId="0" applyFont="1" applyFill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9" fillId="13" borderId="0" xfId="0" applyFont="1" applyFill="1" applyAlignment="1">
      <alignment horizontal="center" vertical="center"/>
    </xf>
    <xf numFmtId="0" fontId="15" fillId="0" borderId="8" xfId="0" applyFont="1" applyBorder="1" applyAlignment="1">
      <alignment horizontal="right"/>
    </xf>
    <xf numFmtId="0" fontId="7" fillId="3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9" fillId="14" borderId="0" xfId="0" applyFont="1" applyFill="1" applyAlignment="1">
      <alignment horizontal="center" vertical="center"/>
    </xf>
    <xf numFmtId="0" fontId="23" fillId="21" borderId="0" xfId="0" applyFont="1" applyFill="1" applyAlignment="1">
      <alignment horizontal="center" vertical="center"/>
    </xf>
    <xf numFmtId="0" fontId="7" fillId="17" borderId="3" xfId="0" applyFont="1" applyFill="1" applyBorder="1" applyAlignment="1">
      <alignment horizontal="center" vertical="center" wrapText="1"/>
    </xf>
    <xf numFmtId="0" fontId="0" fillId="17" borderId="2" xfId="0" applyFill="1" applyBorder="1" applyAlignment="1">
      <alignment horizontal="center" vertical="center"/>
    </xf>
    <xf numFmtId="0" fontId="9" fillId="16" borderId="0" xfId="0" applyFont="1" applyFill="1" applyAlignment="1">
      <alignment horizontal="center" vertical="center"/>
    </xf>
    <xf numFmtId="0" fontId="10" fillId="8" borderId="6" xfId="0" applyFont="1" applyFill="1" applyBorder="1" applyAlignment="1">
      <alignment horizontal="left" vertical="center" wrapText="1"/>
    </xf>
    <xf numFmtId="0" fontId="10" fillId="8" borderId="9" xfId="0" applyFont="1" applyFill="1" applyBorder="1" applyAlignment="1">
      <alignment horizontal="left" vertical="center" wrapText="1"/>
    </xf>
    <xf numFmtId="0" fontId="10" fillId="8" borderId="4" xfId="0" applyFont="1" applyFill="1" applyBorder="1" applyAlignment="1">
      <alignment horizontal="left" vertical="center" wrapText="1"/>
    </xf>
    <xf numFmtId="0" fontId="11" fillId="0" borderId="8" xfId="0" applyFont="1" applyBorder="1" applyAlignment="1">
      <alignment horizontal="right"/>
    </xf>
    <xf numFmtId="0" fontId="9" fillId="15" borderId="0" xfId="0" applyFont="1" applyFill="1" applyAlignment="1">
      <alignment horizontal="center" vertical="center"/>
    </xf>
    <xf numFmtId="0" fontId="23" fillId="26" borderId="0" xfId="0" applyFont="1" applyFill="1" applyAlignment="1">
      <alignment horizontal="center" vertical="center"/>
    </xf>
    <xf numFmtId="0" fontId="22" fillId="26" borderId="0" xfId="0" applyFont="1" applyFill="1"/>
    <xf numFmtId="0" fontId="7" fillId="27" borderId="3" xfId="0" applyFont="1" applyFill="1" applyBorder="1" applyAlignment="1">
      <alignment horizontal="center" vertical="center" wrapText="1"/>
    </xf>
    <xf numFmtId="17" fontId="13" fillId="28" borderId="7" xfId="0" applyNumberFormat="1" applyFont="1" applyFill="1" applyBorder="1" applyAlignment="1">
      <alignment horizontal="center" vertical="center" wrapText="1"/>
    </xf>
    <xf numFmtId="17" fontId="5" fillId="27" borderId="3" xfId="0" applyNumberFormat="1" applyFont="1" applyFill="1" applyBorder="1" applyAlignment="1">
      <alignment horizontal="center" vertical="center" wrapText="1"/>
    </xf>
    <xf numFmtId="0" fontId="7" fillId="27" borderId="2" xfId="0" applyFont="1" applyFill="1" applyBorder="1" applyAlignment="1">
      <alignment horizontal="center" vertical="center" wrapText="1"/>
    </xf>
    <xf numFmtId="0" fontId="20" fillId="28" borderId="5" xfId="0" applyFont="1" applyFill="1" applyBorder="1" applyAlignment="1">
      <alignment horizontal="center" vertical="center" wrapText="1"/>
    </xf>
    <xf numFmtId="0" fontId="20" fillId="28" borderId="2" xfId="0" applyFont="1" applyFill="1" applyBorder="1" applyAlignment="1">
      <alignment horizontal="center" vertical="center" wrapText="1"/>
    </xf>
    <xf numFmtId="0" fontId="20" fillId="27" borderId="2" xfId="0" applyFont="1" applyFill="1" applyBorder="1" applyAlignment="1">
      <alignment horizontal="center" vertical="center" wrapText="1"/>
    </xf>
    <xf numFmtId="0" fontId="7" fillId="29" borderId="2" xfId="0" applyFont="1" applyFill="1" applyBorder="1" applyAlignment="1">
      <alignment horizontal="center" vertical="center" wrapText="1"/>
    </xf>
    <xf numFmtId="2" fontId="5" fillId="29" borderId="2" xfId="0" applyNumberFormat="1" applyFont="1" applyFill="1" applyBorder="1" applyAlignment="1">
      <alignment horizontal="center" vertical="center" wrapText="1"/>
    </xf>
    <xf numFmtId="0" fontId="13" fillId="27" borderId="2" xfId="0" applyFont="1" applyFill="1" applyBorder="1" applyAlignment="1">
      <alignment horizontal="center" vertical="center" wrapText="1"/>
    </xf>
    <xf numFmtId="2" fontId="6" fillId="29" borderId="1" xfId="0" applyNumberFormat="1" applyFont="1" applyFill="1" applyBorder="1" applyAlignment="1">
      <alignment horizontal="center" vertical="center" wrapText="1"/>
    </xf>
    <xf numFmtId="2" fontId="5" fillId="27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3FC9C"/>
      <color rgb="FF0000CC"/>
      <color rgb="FF2F75B5"/>
      <color rgb="FF9EF6C2"/>
      <color rgb="FFBDD7EE"/>
      <color rgb="FFE63E4E"/>
      <color rgb="FF98CBCE"/>
      <color rgb="FFFFF4D1"/>
      <color rgb="FF00FF00"/>
      <color rgb="FF98FC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2:X123"/>
  <sheetViews>
    <sheetView tabSelected="1" workbookViewId="0">
      <selection activeCell="B7" sqref="B7"/>
    </sheetView>
  </sheetViews>
  <sheetFormatPr defaultRowHeight="15" x14ac:dyDescent="0.25"/>
  <cols>
    <col min="1" max="1" width="2.140625" customWidth="1"/>
    <col min="2" max="2" width="22.5703125" customWidth="1"/>
    <col min="3" max="4" width="10.7109375" customWidth="1"/>
    <col min="5" max="5" width="11.7109375" customWidth="1"/>
    <col min="6" max="14" width="10.7109375" customWidth="1"/>
    <col min="15" max="17" width="12.7109375" customWidth="1"/>
  </cols>
  <sheetData>
    <row r="2" spans="2:16" ht="36.75" customHeight="1" x14ac:dyDescent="0.25">
      <c r="B2" s="101" t="s">
        <v>52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2"/>
    </row>
    <row r="3" spans="2:16" ht="15.75" thickBot="1" x14ac:dyDescent="0.3"/>
    <row r="4" spans="2:16" ht="15.75" x14ac:dyDescent="0.25">
      <c r="B4" s="103" t="s">
        <v>0</v>
      </c>
      <c r="C4" s="104">
        <v>46023</v>
      </c>
      <c r="D4" s="104">
        <v>46054</v>
      </c>
      <c r="E4" s="104">
        <v>46082</v>
      </c>
      <c r="F4" s="104">
        <v>46113</v>
      </c>
      <c r="G4" s="104">
        <v>46143</v>
      </c>
      <c r="H4" s="104">
        <v>46174</v>
      </c>
      <c r="I4" s="104">
        <v>46204</v>
      </c>
      <c r="J4" s="104">
        <v>46235</v>
      </c>
      <c r="K4" s="104">
        <v>46266</v>
      </c>
      <c r="L4" s="104">
        <v>46296</v>
      </c>
      <c r="M4" s="104">
        <v>46327</v>
      </c>
      <c r="N4" s="104">
        <v>46357</v>
      </c>
      <c r="O4" s="105" t="s">
        <v>1</v>
      </c>
    </row>
    <row r="5" spans="2:16" ht="26.25" thickBot="1" x14ac:dyDescent="0.3">
      <c r="B5" s="106"/>
      <c r="C5" s="107" t="s">
        <v>2</v>
      </c>
      <c r="D5" s="108" t="s">
        <v>2</v>
      </c>
      <c r="E5" s="108" t="s">
        <v>11</v>
      </c>
      <c r="F5" s="108" t="s">
        <v>2</v>
      </c>
      <c r="G5" s="108" t="s">
        <v>2</v>
      </c>
      <c r="H5" s="108" t="s">
        <v>2</v>
      </c>
      <c r="I5" s="108" t="s">
        <v>2</v>
      </c>
      <c r="J5" s="108" t="s">
        <v>2</v>
      </c>
      <c r="K5" s="108" t="s">
        <v>2</v>
      </c>
      <c r="L5" s="108" t="s">
        <v>2</v>
      </c>
      <c r="M5" s="108" t="s">
        <v>2</v>
      </c>
      <c r="N5" s="108" t="s">
        <v>2</v>
      </c>
      <c r="O5" s="109" t="s">
        <v>12</v>
      </c>
    </row>
    <row r="6" spans="2:16" ht="39.950000000000003" customHeight="1" thickBot="1" x14ac:dyDescent="0.3">
      <c r="B6" s="110" t="s">
        <v>53</v>
      </c>
      <c r="C6" s="27">
        <v>81.41</v>
      </c>
      <c r="D6" s="27">
        <v>83.1</v>
      </c>
      <c r="E6" s="38">
        <v>81.33</v>
      </c>
      <c r="F6" s="27"/>
      <c r="G6" s="27"/>
      <c r="H6" s="27"/>
      <c r="I6" s="27"/>
      <c r="J6" s="27"/>
      <c r="K6" s="27"/>
      <c r="L6" s="27"/>
      <c r="M6" s="27"/>
      <c r="N6" s="27"/>
      <c r="O6" s="111">
        <f>P6/3</f>
        <v>81.946666666666658</v>
      </c>
      <c r="P6" s="37">
        <f>SUM(C6:N6)</f>
        <v>245.83999999999997</v>
      </c>
    </row>
    <row r="7" spans="2:16" ht="39.950000000000003" customHeight="1" thickBot="1" x14ac:dyDescent="0.3">
      <c r="B7" s="110" t="s">
        <v>4</v>
      </c>
      <c r="C7" s="27">
        <v>87.58</v>
      </c>
      <c r="D7" s="27">
        <v>87.24</v>
      </c>
      <c r="E7" s="38">
        <v>89.99</v>
      </c>
      <c r="F7" s="27"/>
      <c r="G7" s="27"/>
      <c r="H7" s="27"/>
      <c r="I7" s="27"/>
      <c r="J7" s="27"/>
      <c r="K7" s="27"/>
      <c r="L7" s="27"/>
      <c r="M7" s="27"/>
      <c r="N7" s="27"/>
      <c r="O7" s="111">
        <f t="shared" ref="O7:O10" si="0">P7/3</f>
        <v>88.27</v>
      </c>
      <c r="P7" s="37">
        <f t="shared" ref="P7:P11" si="1">SUM(C7:N7)</f>
        <v>264.81</v>
      </c>
    </row>
    <row r="8" spans="2:16" ht="39.950000000000003" customHeight="1" thickBot="1" x14ac:dyDescent="0.3">
      <c r="B8" s="110" t="s">
        <v>5</v>
      </c>
      <c r="C8" s="27">
        <v>91.72</v>
      </c>
      <c r="D8" s="27">
        <v>94.14</v>
      </c>
      <c r="E8" s="38">
        <v>90.94</v>
      </c>
      <c r="F8" s="27"/>
      <c r="G8" s="27"/>
      <c r="H8" s="27"/>
      <c r="I8" s="27"/>
      <c r="J8" s="27"/>
      <c r="K8" s="27"/>
      <c r="L8" s="27"/>
      <c r="M8" s="27"/>
      <c r="N8" s="27"/>
      <c r="O8" s="111">
        <f t="shared" si="0"/>
        <v>92.266666666666666</v>
      </c>
      <c r="P8" s="37">
        <f t="shared" si="1"/>
        <v>276.8</v>
      </c>
    </row>
    <row r="9" spans="2:16" ht="39.950000000000003" customHeight="1" thickBot="1" x14ac:dyDescent="0.3">
      <c r="B9" s="110" t="s">
        <v>54</v>
      </c>
      <c r="C9" s="27">
        <v>76.900000000000006</v>
      </c>
      <c r="D9" s="27">
        <v>85.03</v>
      </c>
      <c r="E9" s="38">
        <v>80</v>
      </c>
      <c r="F9" s="27"/>
      <c r="G9" s="27"/>
      <c r="H9" s="27"/>
      <c r="I9" s="27"/>
      <c r="J9" s="27"/>
      <c r="K9" s="27"/>
      <c r="L9" s="27"/>
      <c r="M9" s="27"/>
      <c r="N9" s="27"/>
      <c r="O9" s="111">
        <f t="shared" si="0"/>
        <v>80.643333333333331</v>
      </c>
      <c r="P9" s="37">
        <f t="shared" si="1"/>
        <v>241.93</v>
      </c>
    </row>
    <row r="10" spans="2:16" ht="39.950000000000003" customHeight="1" thickBot="1" x14ac:dyDescent="0.3">
      <c r="B10" s="110" t="s">
        <v>7</v>
      </c>
      <c r="C10" s="27">
        <v>75.069999999999993</v>
      </c>
      <c r="D10" s="27">
        <v>84.46</v>
      </c>
      <c r="E10" s="38">
        <v>73.02</v>
      </c>
      <c r="F10" s="27"/>
      <c r="G10" s="27"/>
      <c r="H10" s="27"/>
      <c r="I10" s="27"/>
      <c r="J10" s="27"/>
      <c r="K10" s="27"/>
      <c r="L10" s="27"/>
      <c r="M10" s="27"/>
      <c r="N10" s="27"/>
      <c r="O10" s="111">
        <f t="shared" si="0"/>
        <v>77.516666666666652</v>
      </c>
      <c r="P10" s="37">
        <f t="shared" si="1"/>
        <v>232.54999999999995</v>
      </c>
    </row>
    <row r="11" spans="2:16" ht="39.950000000000003" customHeight="1" thickBot="1" x14ac:dyDescent="0.3">
      <c r="B11" s="112" t="s">
        <v>21</v>
      </c>
      <c r="C11" s="113">
        <v>83.54</v>
      </c>
      <c r="D11" s="113">
        <v>87.32</v>
      </c>
      <c r="E11" s="113">
        <v>83.48</v>
      </c>
      <c r="F11" s="113"/>
      <c r="G11" s="113"/>
      <c r="H11" s="113"/>
      <c r="I11" s="113"/>
      <c r="J11" s="113"/>
      <c r="K11" s="113"/>
      <c r="L11" s="113"/>
      <c r="M11" s="113"/>
      <c r="N11" s="113"/>
      <c r="O11" s="114">
        <f>P11/3</f>
        <v>84.780000000000015</v>
      </c>
      <c r="P11" s="37">
        <f t="shared" si="1"/>
        <v>254.34000000000003</v>
      </c>
    </row>
    <row r="12" spans="2:16" x14ac:dyDescent="0.25">
      <c r="B12" s="79" t="s">
        <v>55</v>
      </c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</row>
    <row r="13" spans="2:16" ht="15.75" x14ac:dyDescent="0.25">
      <c r="B13" s="68" t="s">
        <v>56</v>
      </c>
      <c r="C13" s="72" t="s">
        <v>24</v>
      </c>
      <c r="D13" s="11">
        <v>83.54</v>
      </c>
      <c r="E13" s="72" t="s">
        <v>25</v>
      </c>
      <c r="F13" s="11">
        <v>84.78</v>
      </c>
      <c r="G13" s="72" t="s">
        <v>26</v>
      </c>
      <c r="H13" s="73"/>
      <c r="I13" s="72" t="s">
        <v>27</v>
      </c>
      <c r="L13" s="70" t="s">
        <v>28</v>
      </c>
      <c r="O13" s="70" t="s">
        <v>29</v>
      </c>
    </row>
    <row r="14" spans="2:16" ht="15.75" x14ac:dyDescent="0.25">
      <c r="B14" s="68" t="s">
        <v>57</v>
      </c>
      <c r="C14" s="72" t="s">
        <v>30</v>
      </c>
      <c r="D14" s="11">
        <v>85.43</v>
      </c>
      <c r="E14" s="72" t="s">
        <v>31</v>
      </c>
      <c r="F14" s="11"/>
      <c r="G14" s="72" t="s">
        <v>32</v>
      </c>
      <c r="H14" s="73"/>
      <c r="I14" s="72" t="s">
        <v>33</v>
      </c>
      <c r="L14" s="70" t="s">
        <v>34</v>
      </c>
      <c r="O14" s="70" t="s">
        <v>35</v>
      </c>
    </row>
    <row r="18" spans="2:24" ht="33" customHeight="1" x14ac:dyDescent="0.25">
      <c r="B18" s="85" t="s">
        <v>10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3"/>
    </row>
    <row r="19" spans="2:24" ht="15.75" thickBot="1" x14ac:dyDescent="0.3"/>
    <row r="20" spans="2:24" ht="15.75" x14ac:dyDescent="0.25">
      <c r="B20" s="80" t="s">
        <v>0</v>
      </c>
      <c r="C20" s="76">
        <v>45658</v>
      </c>
      <c r="D20" s="76">
        <v>45689</v>
      </c>
      <c r="E20" s="76">
        <v>45717</v>
      </c>
      <c r="F20" s="76">
        <v>45748</v>
      </c>
      <c r="G20" s="76">
        <v>45778</v>
      </c>
      <c r="H20" s="76">
        <v>45809</v>
      </c>
      <c r="I20" s="76">
        <v>45839</v>
      </c>
      <c r="J20" s="76">
        <v>45870</v>
      </c>
      <c r="K20" s="76">
        <v>45901</v>
      </c>
      <c r="L20" s="76">
        <v>45931</v>
      </c>
      <c r="M20" s="76">
        <v>45962</v>
      </c>
      <c r="N20" s="76">
        <v>45992</v>
      </c>
      <c r="O20" s="58" t="s">
        <v>1</v>
      </c>
    </row>
    <row r="21" spans="2:24" ht="26.25" thickBot="1" x14ac:dyDescent="0.3">
      <c r="B21" s="81"/>
      <c r="C21" s="77" t="s">
        <v>2</v>
      </c>
      <c r="D21" s="78" t="s">
        <v>2</v>
      </c>
      <c r="E21" s="78" t="s">
        <v>11</v>
      </c>
      <c r="F21" s="78" t="s">
        <v>2</v>
      </c>
      <c r="G21" s="78" t="s">
        <v>2</v>
      </c>
      <c r="H21" s="78" t="s">
        <v>2</v>
      </c>
      <c r="I21" s="78" t="s">
        <v>2</v>
      </c>
      <c r="J21" s="78" t="s">
        <v>2</v>
      </c>
      <c r="K21" s="78" t="s">
        <v>2</v>
      </c>
      <c r="L21" s="78" t="s">
        <v>2</v>
      </c>
      <c r="M21" s="78" t="s">
        <v>2</v>
      </c>
      <c r="N21" s="78" t="s">
        <v>2</v>
      </c>
      <c r="O21" s="56" t="s">
        <v>12</v>
      </c>
      <c r="R21" s="82" t="s">
        <v>13</v>
      </c>
      <c r="S21" s="82" t="s">
        <v>14</v>
      </c>
      <c r="T21" s="82" t="s">
        <v>15</v>
      </c>
      <c r="U21" s="82" t="s">
        <v>16</v>
      </c>
      <c r="V21" s="82" t="s">
        <v>17</v>
      </c>
      <c r="W21" s="82" t="s">
        <v>18</v>
      </c>
      <c r="X21" s="82" t="s">
        <v>19</v>
      </c>
    </row>
    <row r="22" spans="2:24" ht="33" customHeight="1" thickBot="1" x14ac:dyDescent="0.3">
      <c r="B22" s="65" t="s">
        <v>20</v>
      </c>
      <c r="C22" s="62">
        <v>85.61</v>
      </c>
      <c r="D22" s="62">
        <v>83.68</v>
      </c>
      <c r="E22" s="63">
        <v>83.62</v>
      </c>
      <c r="F22" s="62">
        <v>75.33</v>
      </c>
      <c r="G22" s="62">
        <v>67.37</v>
      </c>
      <c r="H22" s="62">
        <v>59.34</v>
      </c>
      <c r="I22" s="62">
        <v>70.599999999999994</v>
      </c>
      <c r="J22" s="62">
        <v>66.33</v>
      </c>
      <c r="K22" s="62">
        <v>76.44</v>
      </c>
      <c r="L22" s="62">
        <v>80.56</v>
      </c>
      <c r="M22" s="62">
        <v>72.66</v>
      </c>
      <c r="N22" s="62">
        <v>74.209999999999994</v>
      </c>
      <c r="O22" s="66">
        <f t="shared" ref="O22:O27" si="2">P22/12</f>
        <v>74.645833333333343</v>
      </c>
      <c r="P22" s="37">
        <f>SUM(C22:N22)</f>
        <v>895.75000000000011</v>
      </c>
      <c r="R22" s="12">
        <v>75.83</v>
      </c>
      <c r="S22" s="12">
        <v>75.08</v>
      </c>
      <c r="T22" s="12">
        <v>73.989999999999995</v>
      </c>
      <c r="U22" s="12">
        <v>76.44</v>
      </c>
      <c r="V22" s="12">
        <v>80.56</v>
      </c>
      <c r="W22" s="12">
        <v>72.66</v>
      </c>
      <c r="X22" s="12">
        <v>74.209999999999994</v>
      </c>
    </row>
    <row r="23" spans="2:24" ht="33" customHeight="1" thickBot="1" x14ac:dyDescent="0.3">
      <c r="B23" s="65" t="s">
        <v>4</v>
      </c>
      <c r="C23" s="62">
        <v>85.77</v>
      </c>
      <c r="D23" s="62">
        <v>86.37</v>
      </c>
      <c r="E23" s="63">
        <v>87.58</v>
      </c>
      <c r="F23" s="62">
        <v>78.78</v>
      </c>
      <c r="G23" s="62">
        <v>75.97</v>
      </c>
      <c r="H23" s="62">
        <v>66.959999999999994</v>
      </c>
      <c r="I23" s="62">
        <v>80.569999999999993</v>
      </c>
      <c r="J23" s="62">
        <v>80.14</v>
      </c>
      <c r="K23" s="62">
        <v>78.290000000000006</v>
      </c>
      <c r="L23" s="62">
        <v>86.7</v>
      </c>
      <c r="M23" s="62">
        <v>83.13</v>
      </c>
      <c r="N23" s="62">
        <v>83.12</v>
      </c>
      <c r="O23" s="66">
        <f t="shared" si="2"/>
        <v>81.114999999999995</v>
      </c>
      <c r="P23" s="37">
        <f t="shared" ref="P23:P27" si="3">SUM(C23:N23)</f>
        <v>973.38</v>
      </c>
      <c r="R23" s="12">
        <v>80.239999999999995</v>
      </c>
      <c r="S23" s="12">
        <v>80.290000000000006</v>
      </c>
      <c r="T23" s="12">
        <v>80.27</v>
      </c>
      <c r="U23" s="12">
        <v>78.290000000000006</v>
      </c>
      <c r="V23" s="12">
        <v>86.7</v>
      </c>
      <c r="W23" s="12">
        <v>83.13</v>
      </c>
      <c r="X23" s="12">
        <v>83.12</v>
      </c>
    </row>
    <row r="24" spans="2:24" ht="33" customHeight="1" thickBot="1" x14ac:dyDescent="0.3">
      <c r="B24" s="65" t="s">
        <v>5</v>
      </c>
      <c r="C24" s="62">
        <v>91.32</v>
      </c>
      <c r="D24" s="62">
        <v>92.8</v>
      </c>
      <c r="E24" s="63">
        <v>92.47</v>
      </c>
      <c r="F24" s="62">
        <v>84.39</v>
      </c>
      <c r="G24" s="62">
        <v>81.239999999999995</v>
      </c>
      <c r="H24" s="62">
        <v>75.59</v>
      </c>
      <c r="I24" s="62">
        <v>85.89</v>
      </c>
      <c r="J24" s="62">
        <v>86.47</v>
      </c>
      <c r="K24" s="62">
        <v>85.98</v>
      </c>
      <c r="L24" s="62">
        <v>89.34</v>
      </c>
      <c r="M24" s="62">
        <v>89.5</v>
      </c>
      <c r="N24" s="62">
        <v>86.24</v>
      </c>
      <c r="O24" s="66">
        <f t="shared" si="2"/>
        <v>86.769166666666663</v>
      </c>
      <c r="P24" s="37">
        <f t="shared" si="3"/>
        <v>1041.23</v>
      </c>
      <c r="R24" s="37">
        <v>86.3</v>
      </c>
      <c r="S24" s="12">
        <v>86.24</v>
      </c>
      <c r="T24" s="12">
        <v>86.27</v>
      </c>
      <c r="U24" s="12">
        <v>85.98</v>
      </c>
      <c r="V24" s="12">
        <v>89.34</v>
      </c>
      <c r="W24" s="12">
        <v>89.5</v>
      </c>
      <c r="X24" s="12">
        <v>86.24</v>
      </c>
    </row>
    <row r="25" spans="2:24" ht="33" customHeight="1" thickBot="1" x14ac:dyDescent="0.3">
      <c r="B25" s="65" t="s">
        <v>6</v>
      </c>
      <c r="C25" s="62">
        <v>81.58</v>
      </c>
      <c r="D25" s="62">
        <v>84.1</v>
      </c>
      <c r="E25" s="63">
        <v>81.88</v>
      </c>
      <c r="F25" s="62">
        <v>71.16</v>
      </c>
      <c r="G25" s="62">
        <v>73.959999999999994</v>
      </c>
      <c r="H25" s="62">
        <v>70.53</v>
      </c>
      <c r="I25" s="62">
        <v>77.91</v>
      </c>
      <c r="J25" s="62">
        <v>72.66</v>
      </c>
      <c r="K25" s="62">
        <v>79.33</v>
      </c>
      <c r="L25" s="62">
        <v>77.27</v>
      </c>
      <c r="M25" s="62">
        <v>80.72</v>
      </c>
      <c r="N25" s="62">
        <v>68.930000000000007</v>
      </c>
      <c r="O25" s="66">
        <f t="shared" si="2"/>
        <v>76.669166666666669</v>
      </c>
      <c r="P25" s="37">
        <f t="shared" si="3"/>
        <v>920.03</v>
      </c>
      <c r="R25" s="37">
        <v>77.2</v>
      </c>
      <c r="S25" s="37">
        <v>77.3</v>
      </c>
      <c r="T25" s="37">
        <v>76.72</v>
      </c>
      <c r="U25" s="37">
        <v>79.33</v>
      </c>
      <c r="V25" s="37">
        <v>77.27</v>
      </c>
      <c r="W25" s="12">
        <v>80.72</v>
      </c>
      <c r="X25" s="12">
        <v>68.930000000000007</v>
      </c>
    </row>
    <row r="26" spans="2:24" ht="33" customHeight="1" thickBot="1" x14ac:dyDescent="0.3">
      <c r="B26" s="65" t="s">
        <v>7</v>
      </c>
      <c r="C26" s="62">
        <v>69.94</v>
      </c>
      <c r="D26" s="62">
        <v>75.040000000000006</v>
      </c>
      <c r="E26" s="63">
        <v>75.56</v>
      </c>
      <c r="F26" s="62">
        <v>67.2</v>
      </c>
      <c r="G26" s="62">
        <v>68.95</v>
      </c>
      <c r="H26" s="62">
        <v>62.71</v>
      </c>
      <c r="I26" s="62">
        <v>60.84</v>
      </c>
      <c r="J26" s="62">
        <v>64.5</v>
      </c>
      <c r="K26" s="62">
        <v>70.61</v>
      </c>
      <c r="L26" s="62">
        <v>70.14</v>
      </c>
      <c r="M26" s="62">
        <v>71.62</v>
      </c>
      <c r="N26" s="62">
        <v>65.64</v>
      </c>
      <c r="O26" s="66">
        <f t="shared" si="2"/>
        <v>68.5625</v>
      </c>
      <c r="P26" s="37">
        <f t="shared" si="3"/>
        <v>822.75</v>
      </c>
      <c r="R26" s="12">
        <v>69.900000000000006</v>
      </c>
      <c r="S26" s="12">
        <v>68.61</v>
      </c>
      <c r="T26" s="12">
        <v>68.09</v>
      </c>
      <c r="U26" s="12">
        <v>70.61</v>
      </c>
      <c r="V26" s="12">
        <v>70.14</v>
      </c>
      <c r="W26" s="12">
        <v>71.62</v>
      </c>
      <c r="X26" s="12">
        <v>74.8</v>
      </c>
    </row>
    <row r="27" spans="2:24" ht="33" customHeight="1" thickBot="1" x14ac:dyDescent="0.3">
      <c r="B27" s="74" t="s">
        <v>21</v>
      </c>
      <c r="C27" s="75">
        <v>84.41</v>
      </c>
      <c r="D27" s="75">
        <v>85.71</v>
      </c>
      <c r="E27" s="75">
        <v>84.1</v>
      </c>
      <c r="F27" s="75">
        <v>76.75</v>
      </c>
      <c r="G27" s="75">
        <v>72.81</v>
      </c>
      <c r="H27" s="75">
        <v>66.33</v>
      </c>
      <c r="I27" s="75">
        <v>74.13</v>
      </c>
      <c r="J27" s="75">
        <v>72.87</v>
      </c>
      <c r="K27" s="75">
        <v>79.27</v>
      </c>
      <c r="L27" s="75">
        <v>81.489999999999995</v>
      </c>
      <c r="M27" s="75">
        <v>78.64</v>
      </c>
      <c r="N27" s="75">
        <v>76.209999999999994</v>
      </c>
      <c r="O27" s="84">
        <f t="shared" si="2"/>
        <v>77.726666666666674</v>
      </c>
      <c r="P27" s="37">
        <f t="shared" si="3"/>
        <v>932.72</v>
      </c>
      <c r="R27" s="12">
        <v>78.349999999999994</v>
      </c>
      <c r="S27" s="12">
        <v>77.75</v>
      </c>
      <c r="T27" s="12">
        <v>77.14</v>
      </c>
      <c r="U27" s="12">
        <v>79.27</v>
      </c>
      <c r="V27" s="12">
        <v>81.489999999999995</v>
      </c>
      <c r="W27" s="12">
        <v>78.64</v>
      </c>
      <c r="X27" s="12">
        <v>76.209999999999994</v>
      </c>
    </row>
    <row r="28" spans="2:24" x14ac:dyDescent="0.25">
      <c r="B28" s="79" t="s">
        <v>22</v>
      </c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</row>
    <row r="29" spans="2:24" ht="15.75" x14ac:dyDescent="0.25">
      <c r="B29" s="68" t="s">
        <v>23</v>
      </c>
      <c r="C29" s="72" t="s">
        <v>24</v>
      </c>
      <c r="D29" s="11">
        <v>84.41</v>
      </c>
      <c r="E29" s="72" t="s">
        <v>25</v>
      </c>
      <c r="F29" s="11">
        <v>84.74</v>
      </c>
      <c r="G29" s="72" t="s">
        <v>26</v>
      </c>
      <c r="H29" s="73">
        <v>80.760000000000005</v>
      </c>
      <c r="I29" s="72" t="s">
        <v>27</v>
      </c>
      <c r="J29" s="69">
        <v>77.75</v>
      </c>
      <c r="L29" s="70" t="s">
        <v>28</v>
      </c>
      <c r="M29" s="69">
        <v>77.38</v>
      </c>
      <c r="O29" s="70" t="s">
        <v>29</v>
      </c>
      <c r="P29" s="70">
        <v>77.86</v>
      </c>
    </row>
    <row r="30" spans="2:24" ht="15.75" x14ac:dyDescent="0.25">
      <c r="B30" s="68"/>
      <c r="C30" s="72" t="s">
        <v>30</v>
      </c>
      <c r="D30" s="11">
        <v>85.06</v>
      </c>
      <c r="E30" s="72" t="s">
        <v>31</v>
      </c>
      <c r="F30" s="11">
        <v>82.74</v>
      </c>
      <c r="G30" s="72" t="s">
        <v>32</v>
      </c>
      <c r="H30" s="73">
        <v>78.349999999999994</v>
      </c>
      <c r="I30" s="72" t="s">
        <v>33</v>
      </c>
      <c r="J30" s="69">
        <v>77.14</v>
      </c>
      <c r="L30" s="70" t="s">
        <v>34</v>
      </c>
      <c r="M30" s="69">
        <v>77.790000000000006</v>
      </c>
      <c r="O30" s="70" t="s">
        <v>35</v>
      </c>
      <c r="P30" s="70">
        <v>77.73</v>
      </c>
    </row>
    <row r="33" spans="2:16" ht="33" customHeight="1" x14ac:dyDescent="0.25">
      <c r="B33" s="92" t="s">
        <v>36</v>
      </c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71"/>
    </row>
    <row r="34" spans="2:16" ht="15.75" thickBot="1" x14ac:dyDescent="0.3"/>
    <row r="35" spans="2:16" ht="15.75" x14ac:dyDescent="0.25">
      <c r="B35" s="93" t="s">
        <v>0</v>
      </c>
      <c r="C35" s="59">
        <v>45292</v>
      </c>
      <c r="D35" s="59">
        <v>45323</v>
      </c>
      <c r="E35" s="59">
        <v>45352</v>
      </c>
      <c r="F35" s="59">
        <v>45383</v>
      </c>
      <c r="G35" s="59">
        <v>45413</v>
      </c>
      <c r="H35" s="59">
        <v>45444</v>
      </c>
      <c r="I35" s="59">
        <v>45474</v>
      </c>
      <c r="J35" s="59">
        <v>45505</v>
      </c>
      <c r="K35" s="59">
        <v>45536</v>
      </c>
      <c r="L35" s="59">
        <v>45566</v>
      </c>
      <c r="M35" s="59">
        <v>45597</v>
      </c>
      <c r="N35" s="59">
        <v>45627</v>
      </c>
      <c r="O35" s="58" t="s">
        <v>1</v>
      </c>
    </row>
    <row r="36" spans="2:16" ht="26.25" thickBot="1" x14ac:dyDescent="0.3">
      <c r="B36" s="94"/>
      <c r="C36" s="60" t="s">
        <v>2</v>
      </c>
      <c r="D36" s="61" t="s">
        <v>2</v>
      </c>
      <c r="E36" s="61" t="s">
        <v>11</v>
      </c>
      <c r="F36" s="61" t="s">
        <v>2</v>
      </c>
      <c r="G36" s="61" t="s">
        <v>2</v>
      </c>
      <c r="H36" s="61" t="s">
        <v>2</v>
      </c>
      <c r="I36" s="61" t="s">
        <v>2</v>
      </c>
      <c r="J36" s="61" t="s">
        <v>2</v>
      </c>
      <c r="K36" s="61" t="s">
        <v>2</v>
      </c>
      <c r="L36" s="61" t="s">
        <v>2</v>
      </c>
      <c r="M36" s="61" t="s">
        <v>2</v>
      </c>
      <c r="N36" s="61" t="s">
        <v>2</v>
      </c>
      <c r="O36" s="56" t="s">
        <v>12</v>
      </c>
    </row>
    <row r="37" spans="2:16" ht="33" customHeight="1" thickBot="1" x14ac:dyDescent="0.3">
      <c r="B37" s="65" t="s">
        <v>20</v>
      </c>
      <c r="C37" s="62">
        <v>75.650000000000006</v>
      </c>
      <c r="D37" s="62">
        <v>72.319999999999993</v>
      </c>
      <c r="E37" s="63">
        <v>66.86</v>
      </c>
      <c r="F37" s="62">
        <v>54.38</v>
      </c>
      <c r="G37" s="62">
        <v>57.55</v>
      </c>
      <c r="H37" s="62">
        <v>59.45</v>
      </c>
      <c r="I37" s="62">
        <v>64.930000000000007</v>
      </c>
      <c r="J37" s="62">
        <v>63.78</v>
      </c>
      <c r="K37" s="62">
        <v>69.540000000000006</v>
      </c>
      <c r="L37" s="62">
        <v>69.959999999999994</v>
      </c>
      <c r="M37" s="62">
        <v>73.41</v>
      </c>
      <c r="N37" s="62">
        <v>74.819999999999993</v>
      </c>
      <c r="O37" s="66">
        <f t="shared" ref="O37:O42" si="4">P37/12</f>
        <v>66.887499999999989</v>
      </c>
      <c r="P37" s="37">
        <f t="shared" ref="P37:P42" si="5">SUM(C37:N37)</f>
        <v>802.64999999999986</v>
      </c>
    </row>
    <row r="38" spans="2:16" ht="33" customHeight="1" thickBot="1" x14ac:dyDescent="0.3">
      <c r="B38" s="65" t="s">
        <v>4</v>
      </c>
      <c r="C38" s="62">
        <v>76.45</v>
      </c>
      <c r="D38" s="62">
        <v>80.75</v>
      </c>
      <c r="E38" s="63">
        <v>80.19</v>
      </c>
      <c r="F38" s="62">
        <v>76.81</v>
      </c>
      <c r="G38" s="62">
        <v>72.819999999999993</v>
      </c>
      <c r="H38" s="62">
        <v>73.88</v>
      </c>
      <c r="I38" s="62">
        <v>75.44</v>
      </c>
      <c r="J38" s="62">
        <v>74.680000000000007</v>
      </c>
      <c r="K38" s="62">
        <v>79.89</v>
      </c>
      <c r="L38" s="62">
        <v>77.8</v>
      </c>
      <c r="M38" s="62">
        <v>84.07</v>
      </c>
      <c r="N38" s="62">
        <v>84.44</v>
      </c>
      <c r="O38" s="66">
        <f t="shared" si="4"/>
        <v>78.101666666666674</v>
      </c>
      <c r="P38" s="37">
        <f t="shared" si="5"/>
        <v>937.22</v>
      </c>
    </row>
    <row r="39" spans="2:16" ht="33" customHeight="1" thickBot="1" x14ac:dyDescent="0.3">
      <c r="B39" s="65" t="s">
        <v>5</v>
      </c>
      <c r="C39" s="62">
        <v>72.45</v>
      </c>
      <c r="D39" s="62">
        <v>80.989999999999995</v>
      </c>
      <c r="E39" s="63">
        <v>83.58</v>
      </c>
      <c r="F39" s="62">
        <v>77.77</v>
      </c>
      <c r="G39" s="62">
        <v>74.62</v>
      </c>
      <c r="H39" s="62">
        <v>74.73</v>
      </c>
      <c r="I39" s="62">
        <v>79.48</v>
      </c>
      <c r="J39" s="62">
        <v>83.78</v>
      </c>
      <c r="K39" s="62">
        <v>86.92</v>
      </c>
      <c r="L39" s="62">
        <v>86.07</v>
      </c>
      <c r="M39" s="62">
        <v>90.49</v>
      </c>
      <c r="N39" s="62">
        <v>83.37</v>
      </c>
      <c r="O39" s="66">
        <f t="shared" si="4"/>
        <v>81.187499999999986</v>
      </c>
      <c r="P39" s="37">
        <f t="shared" si="5"/>
        <v>974.24999999999989</v>
      </c>
    </row>
    <row r="40" spans="2:16" ht="33" customHeight="1" thickBot="1" x14ac:dyDescent="0.3">
      <c r="B40" s="65" t="s">
        <v>6</v>
      </c>
      <c r="C40" s="62">
        <v>63.64</v>
      </c>
      <c r="D40" s="62">
        <v>72.209999999999994</v>
      </c>
      <c r="E40" s="63">
        <v>66.63</v>
      </c>
      <c r="F40" s="62">
        <v>57.37</v>
      </c>
      <c r="G40" s="62">
        <v>68.3</v>
      </c>
      <c r="H40" s="62">
        <v>73.44</v>
      </c>
      <c r="I40" s="62">
        <v>71.92</v>
      </c>
      <c r="J40" s="62">
        <v>75.89</v>
      </c>
      <c r="K40" s="62">
        <v>81.16</v>
      </c>
      <c r="L40" s="62">
        <v>79.03</v>
      </c>
      <c r="M40" s="62">
        <v>79.88</v>
      </c>
      <c r="N40" s="62">
        <v>72.2</v>
      </c>
      <c r="O40" s="66">
        <f t="shared" si="4"/>
        <v>71.805833333333325</v>
      </c>
      <c r="P40" s="37">
        <f t="shared" si="5"/>
        <v>861.67</v>
      </c>
    </row>
    <row r="41" spans="2:16" ht="33" customHeight="1" thickBot="1" x14ac:dyDescent="0.3">
      <c r="B41" s="65" t="s">
        <v>7</v>
      </c>
      <c r="C41" s="62">
        <v>65.61</v>
      </c>
      <c r="D41" s="62">
        <v>69.27</v>
      </c>
      <c r="E41" s="63">
        <v>55.53</v>
      </c>
      <c r="F41" s="62">
        <v>58.23</v>
      </c>
      <c r="G41" s="62">
        <v>65.06</v>
      </c>
      <c r="H41" s="62">
        <v>59.16</v>
      </c>
      <c r="I41" s="62">
        <v>56.86</v>
      </c>
      <c r="J41" s="62">
        <v>61.81</v>
      </c>
      <c r="K41" s="62">
        <v>70.16</v>
      </c>
      <c r="L41" s="62">
        <v>73.209999999999994</v>
      </c>
      <c r="M41" s="62">
        <v>75.069999999999993</v>
      </c>
      <c r="N41" s="62">
        <v>62.07</v>
      </c>
      <c r="O41" s="66">
        <f t="shared" si="4"/>
        <v>64.336666666666673</v>
      </c>
      <c r="P41" s="37">
        <f t="shared" si="5"/>
        <v>772.04000000000008</v>
      </c>
    </row>
    <row r="42" spans="2:16" ht="33" customHeight="1" thickBot="1" x14ac:dyDescent="0.3">
      <c r="B42" s="67" t="s">
        <v>21</v>
      </c>
      <c r="C42" s="64">
        <v>70.819999999999993</v>
      </c>
      <c r="D42" s="64">
        <v>75.599999999999994</v>
      </c>
      <c r="E42" s="64">
        <v>72.2</v>
      </c>
      <c r="F42" s="64">
        <v>67.2</v>
      </c>
      <c r="G42" s="64">
        <v>67.89</v>
      </c>
      <c r="H42" s="64">
        <v>67.069999999999993</v>
      </c>
      <c r="I42" s="64">
        <v>70.150000000000006</v>
      </c>
      <c r="J42" s="64">
        <v>72.5</v>
      </c>
      <c r="K42" s="64">
        <v>78.25</v>
      </c>
      <c r="L42" s="64">
        <v>77.78</v>
      </c>
      <c r="M42" s="64">
        <v>81.61</v>
      </c>
      <c r="N42" s="64">
        <v>76.790000000000006</v>
      </c>
      <c r="O42" s="84">
        <f t="shared" si="4"/>
        <v>73.154999999999987</v>
      </c>
      <c r="P42" s="37">
        <f t="shared" si="5"/>
        <v>877.8599999999999</v>
      </c>
    </row>
    <row r="43" spans="2:16" x14ac:dyDescent="0.25">
      <c r="B43" s="88" t="s">
        <v>9</v>
      </c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</row>
    <row r="44" spans="2:16" ht="15.75" x14ac:dyDescent="0.25">
      <c r="B44" s="68" t="s">
        <v>23</v>
      </c>
      <c r="C44" s="70"/>
      <c r="D44" s="11"/>
      <c r="E44" s="72" t="s">
        <v>25</v>
      </c>
      <c r="F44" s="11">
        <v>72.87</v>
      </c>
      <c r="G44" s="72" t="s">
        <v>26</v>
      </c>
      <c r="H44" s="73">
        <v>70.739999999999995</v>
      </c>
      <c r="I44" s="72" t="s">
        <v>27</v>
      </c>
      <c r="J44" s="69">
        <v>70.13</v>
      </c>
      <c r="L44" s="70" t="s">
        <v>28</v>
      </c>
      <c r="M44" s="69">
        <v>71.3</v>
      </c>
      <c r="O44" s="70" t="s">
        <v>29</v>
      </c>
      <c r="P44" s="69">
        <v>72.819999999999993</v>
      </c>
    </row>
    <row r="45" spans="2:16" ht="15.75" x14ac:dyDescent="0.25">
      <c r="B45" s="68"/>
      <c r="C45" s="72" t="s">
        <v>30</v>
      </c>
      <c r="D45" s="11">
        <v>73.209999999999994</v>
      </c>
      <c r="E45" s="72" t="s">
        <v>31</v>
      </c>
      <c r="F45" s="11">
        <v>71.459999999999994</v>
      </c>
      <c r="G45" s="72" t="s">
        <v>32</v>
      </c>
      <c r="H45" s="73">
        <v>70.13</v>
      </c>
      <c r="I45" s="72" t="s">
        <v>33</v>
      </c>
      <c r="J45" s="69">
        <v>70.430000000000007</v>
      </c>
      <c r="L45" s="70" t="s">
        <v>34</v>
      </c>
      <c r="M45" s="69">
        <v>71.95</v>
      </c>
      <c r="O45" s="70" t="s">
        <v>35</v>
      </c>
      <c r="P45" s="69">
        <v>73.16</v>
      </c>
    </row>
    <row r="47" spans="2:16" ht="36.75" customHeight="1" x14ac:dyDescent="0.25">
      <c r="B47" s="95" t="s">
        <v>37</v>
      </c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55"/>
    </row>
    <row r="48" spans="2:16" ht="15.75" thickBot="1" x14ac:dyDescent="0.3">
      <c r="E48" t="s">
        <v>38</v>
      </c>
    </row>
    <row r="49" spans="2:16" ht="15.75" x14ac:dyDescent="0.25">
      <c r="B49" s="93" t="s">
        <v>0</v>
      </c>
      <c r="C49" s="59">
        <v>44927</v>
      </c>
      <c r="D49" s="59">
        <v>44958</v>
      </c>
      <c r="E49" s="59">
        <v>44986</v>
      </c>
      <c r="F49" s="59">
        <v>45017</v>
      </c>
      <c r="G49" s="59">
        <v>45047</v>
      </c>
      <c r="H49" s="59">
        <v>45078</v>
      </c>
      <c r="I49" s="59">
        <v>45108</v>
      </c>
      <c r="J49" s="59">
        <v>45139</v>
      </c>
      <c r="K49" s="59">
        <v>45170</v>
      </c>
      <c r="L49" s="59">
        <v>45200</v>
      </c>
      <c r="M49" s="59">
        <v>45231</v>
      </c>
      <c r="N49" s="59">
        <v>45261</v>
      </c>
      <c r="O49" s="58" t="s">
        <v>1</v>
      </c>
    </row>
    <row r="50" spans="2:16" ht="29.25" customHeight="1" thickBot="1" x14ac:dyDescent="0.3">
      <c r="B50" s="94"/>
      <c r="C50" s="60" t="s">
        <v>2</v>
      </c>
      <c r="D50" s="61" t="s">
        <v>2</v>
      </c>
      <c r="E50" s="61" t="s">
        <v>11</v>
      </c>
      <c r="F50" s="61" t="s">
        <v>2</v>
      </c>
      <c r="G50" s="61" t="s">
        <v>2</v>
      </c>
      <c r="H50" s="61" t="s">
        <v>2</v>
      </c>
      <c r="I50" s="61" t="s">
        <v>2</v>
      </c>
      <c r="J50" s="61" t="s">
        <v>2</v>
      </c>
      <c r="K50" s="61" t="s">
        <v>2</v>
      </c>
      <c r="L50" s="61" t="s">
        <v>2</v>
      </c>
      <c r="M50" s="61" t="s">
        <v>2</v>
      </c>
      <c r="N50" s="61" t="s">
        <v>2</v>
      </c>
      <c r="O50" s="56" t="s">
        <v>12</v>
      </c>
    </row>
    <row r="51" spans="2:16" ht="51.75" customHeight="1" thickBot="1" x14ac:dyDescent="0.3">
      <c r="B51" s="65" t="s">
        <v>39</v>
      </c>
      <c r="C51" s="62">
        <v>88.8</v>
      </c>
      <c r="D51" s="62">
        <v>73.900000000000006</v>
      </c>
      <c r="E51" s="63">
        <v>69.63</v>
      </c>
      <c r="F51" s="62">
        <v>68.77</v>
      </c>
      <c r="G51" s="62">
        <v>53.75</v>
      </c>
      <c r="H51" s="62">
        <v>53.5</v>
      </c>
      <c r="I51" s="62">
        <v>65.53</v>
      </c>
      <c r="J51" s="62">
        <v>61.42</v>
      </c>
      <c r="K51" s="62">
        <v>66.040000000000006</v>
      </c>
      <c r="L51" s="62">
        <v>68.430000000000007</v>
      </c>
      <c r="M51" s="62">
        <v>72.430000000000007</v>
      </c>
      <c r="N51" s="62">
        <v>60.51</v>
      </c>
      <c r="O51" s="66">
        <f t="shared" ref="O51:O56" si="6">P51/12</f>
        <v>66.892499999999998</v>
      </c>
      <c r="P51" s="37">
        <f t="shared" ref="P51:P56" si="7">SUM(C51:N51)</f>
        <v>802.71</v>
      </c>
    </row>
    <row r="52" spans="2:16" ht="37.5" customHeight="1" thickBot="1" x14ac:dyDescent="0.3">
      <c r="B52" s="65" t="s">
        <v>4</v>
      </c>
      <c r="C52" s="62">
        <v>84.85</v>
      </c>
      <c r="D52" s="62">
        <v>79.91</v>
      </c>
      <c r="E52" s="63">
        <v>80.94</v>
      </c>
      <c r="F52" s="62">
        <v>76.63</v>
      </c>
      <c r="G52" s="62">
        <v>68.77</v>
      </c>
      <c r="H52" s="62">
        <v>64.08</v>
      </c>
      <c r="I52" s="62">
        <v>71.650000000000006</v>
      </c>
      <c r="J52" s="62">
        <v>79.03</v>
      </c>
      <c r="K52" s="62">
        <v>75.989999999999995</v>
      </c>
      <c r="L52" s="62">
        <v>78.84</v>
      </c>
      <c r="M52" s="62">
        <v>81.400000000000006</v>
      </c>
      <c r="N52" s="62">
        <v>76.59</v>
      </c>
      <c r="O52" s="66">
        <f t="shared" si="6"/>
        <v>76.556666666666658</v>
      </c>
      <c r="P52" s="37">
        <f t="shared" si="7"/>
        <v>918.68</v>
      </c>
    </row>
    <row r="53" spans="2:16" ht="37.5" customHeight="1" thickBot="1" x14ac:dyDescent="0.3">
      <c r="B53" s="65" t="s">
        <v>5</v>
      </c>
      <c r="C53" s="62">
        <v>83.45</v>
      </c>
      <c r="D53" s="62">
        <v>84.24</v>
      </c>
      <c r="E53" s="63">
        <v>85.27</v>
      </c>
      <c r="F53" s="62">
        <v>76.41</v>
      </c>
      <c r="G53" s="62">
        <v>68.11</v>
      </c>
      <c r="H53" s="62">
        <v>66.290000000000006</v>
      </c>
      <c r="I53" s="62">
        <v>77.42</v>
      </c>
      <c r="J53" s="62">
        <v>79.290000000000006</v>
      </c>
      <c r="K53" s="62">
        <v>78.010000000000005</v>
      </c>
      <c r="L53" s="62">
        <v>80.540000000000006</v>
      </c>
      <c r="M53" s="62">
        <v>86.63</v>
      </c>
      <c r="N53" s="62">
        <v>75.7</v>
      </c>
      <c r="O53" s="66">
        <f t="shared" si="6"/>
        <v>78.446666666666673</v>
      </c>
      <c r="P53" s="37">
        <f t="shared" si="7"/>
        <v>941.36</v>
      </c>
    </row>
    <row r="54" spans="2:16" ht="37.5" customHeight="1" thickBot="1" x14ac:dyDescent="0.3">
      <c r="B54" s="65" t="s">
        <v>6</v>
      </c>
      <c r="C54" s="62">
        <v>83.98</v>
      </c>
      <c r="D54" s="62">
        <v>83.22</v>
      </c>
      <c r="E54" s="63">
        <v>72.92</v>
      </c>
      <c r="F54" s="62">
        <v>65.09</v>
      </c>
      <c r="G54" s="62">
        <v>61.53</v>
      </c>
      <c r="H54" s="62">
        <v>61.96</v>
      </c>
      <c r="I54" s="62">
        <v>62.93</v>
      </c>
      <c r="J54" s="62">
        <v>74.67</v>
      </c>
      <c r="K54" s="62">
        <v>70.64</v>
      </c>
      <c r="L54" s="62">
        <v>77.44</v>
      </c>
      <c r="M54" s="62">
        <v>85.66</v>
      </c>
      <c r="N54" s="62">
        <v>66.86</v>
      </c>
      <c r="O54" s="66">
        <f t="shared" si="6"/>
        <v>72.24166666666666</v>
      </c>
      <c r="P54" s="37">
        <f t="shared" si="7"/>
        <v>866.89999999999986</v>
      </c>
    </row>
    <row r="55" spans="2:16" ht="37.5" customHeight="1" thickBot="1" x14ac:dyDescent="0.3">
      <c r="B55" s="65" t="s">
        <v>7</v>
      </c>
      <c r="C55" s="62">
        <v>73.67</v>
      </c>
      <c r="D55" s="62">
        <v>68.42</v>
      </c>
      <c r="E55" s="63">
        <v>65.680000000000007</v>
      </c>
      <c r="F55" s="62">
        <v>52.23</v>
      </c>
      <c r="G55" s="62">
        <v>55.29</v>
      </c>
      <c r="H55" s="62">
        <v>58.04</v>
      </c>
      <c r="I55" s="62">
        <v>55.01</v>
      </c>
      <c r="J55" s="62">
        <v>68.88</v>
      </c>
      <c r="K55" s="62">
        <v>60.86</v>
      </c>
      <c r="L55" s="62">
        <v>68.319999999999993</v>
      </c>
      <c r="M55" s="62">
        <v>81.98</v>
      </c>
      <c r="N55" s="62">
        <v>60.32</v>
      </c>
      <c r="O55" s="66">
        <f t="shared" si="6"/>
        <v>64.058333333333351</v>
      </c>
      <c r="P55" s="37">
        <f t="shared" si="7"/>
        <v>768.70000000000016</v>
      </c>
    </row>
    <row r="56" spans="2:16" ht="37.5" customHeight="1" thickBot="1" x14ac:dyDescent="0.3">
      <c r="B56" s="67" t="s">
        <v>21</v>
      </c>
      <c r="C56" s="64">
        <v>82.85</v>
      </c>
      <c r="D56" s="64">
        <v>76.28</v>
      </c>
      <c r="E56" s="64">
        <v>73.59</v>
      </c>
      <c r="F56" s="64">
        <v>66.430000000000007</v>
      </c>
      <c r="G56" s="64">
        <v>60.58</v>
      </c>
      <c r="H56" s="64">
        <v>60.9</v>
      </c>
      <c r="I56" s="64">
        <v>67.34</v>
      </c>
      <c r="J56" s="64">
        <v>71.67</v>
      </c>
      <c r="K56" s="64">
        <v>69.849999999999994</v>
      </c>
      <c r="L56" s="64">
        <v>74.709999999999994</v>
      </c>
      <c r="M56" s="64">
        <v>81.98</v>
      </c>
      <c r="N56" s="64">
        <v>67.13</v>
      </c>
      <c r="O56" s="57">
        <f t="shared" si="6"/>
        <v>71.109166666666667</v>
      </c>
      <c r="P56" s="37">
        <f t="shared" si="7"/>
        <v>853.31</v>
      </c>
    </row>
    <row r="57" spans="2:16" x14ac:dyDescent="0.25">
      <c r="B57" s="88" t="s">
        <v>9</v>
      </c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</row>
    <row r="58" spans="2:16" ht="15.75" x14ac:dyDescent="0.25">
      <c r="B58" s="68" t="s">
        <v>23</v>
      </c>
      <c r="C58" s="70"/>
      <c r="D58" s="11"/>
      <c r="E58" s="70" t="s">
        <v>25</v>
      </c>
      <c r="F58" s="11"/>
      <c r="G58" s="70" t="s">
        <v>26</v>
      </c>
      <c r="I58" s="70" t="s">
        <v>32</v>
      </c>
      <c r="J58" s="69"/>
      <c r="L58" s="70" t="s">
        <v>28</v>
      </c>
      <c r="M58" s="69">
        <v>69.94</v>
      </c>
      <c r="O58" s="70" t="s">
        <v>29</v>
      </c>
      <c r="P58" s="69">
        <v>71.47</v>
      </c>
    </row>
    <row r="59" spans="2:16" ht="15.75" x14ac:dyDescent="0.25">
      <c r="B59" s="68"/>
      <c r="C59" s="70" t="s">
        <v>30</v>
      </c>
      <c r="D59" s="11"/>
      <c r="E59" s="70" t="s">
        <v>31</v>
      </c>
      <c r="F59" s="11"/>
      <c r="G59" s="70" t="s">
        <v>32</v>
      </c>
      <c r="I59" s="70" t="s">
        <v>33</v>
      </c>
      <c r="J59" s="69">
        <v>69.959999999999994</v>
      </c>
      <c r="L59" s="70" t="s">
        <v>34</v>
      </c>
      <c r="M59" s="69">
        <v>70.42</v>
      </c>
      <c r="O59" s="70" t="s">
        <v>35</v>
      </c>
      <c r="P59" s="69">
        <v>71.11</v>
      </c>
    </row>
    <row r="61" spans="2:16" ht="31.5" customHeight="1" x14ac:dyDescent="0.25">
      <c r="B61" s="87" t="s">
        <v>40</v>
      </c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51"/>
    </row>
    <row r="62" spans="2:16" ht="14.25" customHeight="1" thickBot="1" x14ac:dyDescent="0.3">
      <c r="F62" t="s">
        <v>41</v>
      </c>
    </row>
    <row r="63" spans="2:16" ht="15.75" x14ac:dyDescent="0.25">
      <c r="B63" s="89" t="s">
        <v>0</v>
      </c>
      <c r="C63" s="41">
        <v>44562</v>
      </c>
      <c r="D63" s="41">
        <v>44593</v>
      </c>
      <c r="E63" s="41">
        <v>44621</v>
      </c>
      <c r="F63" s="41">
        <v>44652</v>
      </c>
      <c r="G63" s="41">
        <v>44682</v>
      </c>
      <c r="H63" s="41">
        <v>44713</v>
      </c>
      <c r="I63" s="41">
        <v>44743</v>
      </c>
      <c r="J63" s="41">
        <v>44774</v>
      </c>
      <c r="K63" s="41">
        <v>44805</v>
      </c>
      <c r="L63" s="41">
        <v>44835</v>
      </c>
      <c r="M63" s="41">
        <v>44866</v>
      </c>
      <c r="N63" s="41">
        <v>44896</v>
      </c>
      <c r="O63" s="47" t="s">
        <v>1</v>
      </c>
    </row>
    <row r="64" spans="2:16" ht="26.25" thickBot="1" x14ac:dyDescent="0.3">
      <c r="B64" s="90"/>
      <c r="C64" s="42" t="s">
        <v>2</v>
      </c>
      <c r="D64" s="43" t="s">
        <v>2</v>
      </c>
      <c r="E64" s="43" t="s">
        <v>11</v>
      </c>
      <c r="F64" s="43" t="s">
        <v>2</v>
      </c>
      <c r="G64" s="43" t="s">
        <v>2</v>
      </c>
      <c r="H64" s="43" t="s">
        <v>2</v>
      </c>
      <c r="I64" s="43" t="s">
        <v>2</v>
      </c>
      <c r="J64" s="43" t="s">
        <v>2</v>
      </c>
      <c r="K64" s="43" t="s">
        <v>2</v>
      </c>
      <c r="L64" s="43" t="s">
        <v>2</v>
      </c>
      <c r="M64" s="43" t="s">
        <v>2</v>
      </c>
      <c r="N64" s="48" t="s">
        <v>2</v>
      </c>
      <c r="O64" s="49" t="s">
        <v>12</v>
      </c>
    </row>
    <row r="65" spans="2:16" ht="38.1" customHeight="1" thickBot="1" x14ac:dyDescent="0.3">
      <c r="B65" s="45" t="s">
        <v>3</v>
      </c>
      <c r="C65" s="27">
        <v>74.099999999999994</v>
      </c>
      <c r="D65" s="27">
        <v>65.180000000000007</v>
      </c>
      <c r="E65" s="38">
        <v>56.1</v>
      </c>
      <c r="F65" s="27">
        <v>62.83</v>
      </c>
      <c r="G65" s="27">
        <v>48.13</v>
      </c>
      <c r="H65" s="27">
        <v>52.37</v>
      </c>
      <c r="I65" s="27">
        <v>63.5</v>
      </c>
      <c r="J65" s="27">
        <v>63.09</v>
      </c>
      <c r="K65" s="27">
        <v>69.540000000000006</v>
      </c>
      <c r="L65" s="27">
        <v>64.17</v>
      </c>
      <c r="M65" s="27">
        <v>68.92</v>
      </c>
      <c r="N65" s="27">
        <v>68.83</v>
      </c>
      <c r="O65" s="46">
        <f t="shared" ref="O65:O70" si="8">P65/12</f>
        <v>63.063333333333325</v>
      </c>
      <c r="P65" s="37">
        <f t="shared" ref="P65:P70" si="9">SUM(C65:N65)</f>
        <v>756.75999999999988</v>
      </c>
    </row>
    <row r="66" spans="2:16" ht="38.1" customHeight="1" thickBot="1" x14ac:dyDescent="0.3">
      <c r="B66" s="45" t="s">
        <v>4</v>
      </c>
      <c r="C66" s="27">
        <v>79.75</v>
      </c>
      <c r="D66" s="27">
        <v>66.34</v>
      </c>
      <c r="E66" s="38">
        <v>71.930000000000007</v>
      </c>
      <c r="F66" s="27">
        <v>67.64</v>
      </c>
      <c r="G66" s="27">
        <v>56.24</v>
      </c>
      <c r="H66" s="27">
        <v>51.54</v>
      </c>
      <c r="I66" s="27">
        <v>80.11</v>
      </c>
      <c r="J66" s="27">
        <v>72.27</v>
      </c>
      <c r="K66" s="27">
        <v>78.64</v>
      </c>
      <c r="L66" s="27">
        <v>76.94</v>
      </c>
      <c r="M66" s="27">
        <v>83.69</v>
      </c>
      <c r="N66" s="27">
        <v>78.040000000000006</v>
      </c>
      <c r="O66" s="46">
        <f t="shared" si="8"/>
        <v>71.927500000000009</v>
      </c>
      <c r="P66" s="37">
        <f t="shared" si="9"/>
        <v>863.13000000000011</v>
      </c>
    </row>
    <row r="67" spans="2:16" ht="38.1" customHeight="1" thickBot="1" x14ac:dyDescent="0.3">
      <c r="B67" s="45" t="s">
        <v>5</v>
      </c>
      <c r="C67" s="27">
        <v>71.63</v>
      </c>
      <c r="D67" s="27">
        <v>68.45</v>
      </c>
      <c r="E67" s="38">
        <v>65.87</v>
      </c>
      <c r="F67" s="27">
        <v>64.87</v>
      </c>
      <c r="G67" s="27">
        <v>54.51</v>
      </c>
      <c r="H67" s="27">
        <v>52.25</v>
      </c>
      <c r="I67" s="27">
        <v>70.86</v>
      </c>
      <c r="J67" s="27">
        <v>67.44</v>
      </c>
      <c r="K67" s="27">
        <v>82.82</v>
      </c>
      <c r="L67" s="27">
        <v>66.38</v>
      </c>
      <c r="M67" s="27">
        <v>74.06</v>
      </c>
      <c r="N67" s="27">
        <v>76.95</v>
      </c>
      <c r="O67" s="46">
        <f t="shared" si="8"/>
        <v>68.007500000000007</v>
      </c>
      <c r="P67" s="37">
        <f t="shared" si="9"/>
        <v>816.09000000000015</v>
      </c>
    </row>
    <row r="68" spans="2:16" ht="38.1" customHeight="1" thickBot="1" x14ac:dyDescent="0.3">
      <c r="B68" s="45" t="s">
        <v>6</v>
      </c>
      <c r="C68" s="27">
        <v>74.56</v>
      </c>
      <c r="D68" s="27">
        <v>65.239999999999995</v>
      </c>
      <c r="E68" s="38">
        <v>59.42</v>
      </c>
      <c r="F68" s="27">
        <v>65.069999999999993</v>
      </c>
      <c r="G68" s="27">
        <v>59.97</v>
      </c>
      <c r="H68" s="27">
        <v>52.81</v>
      </c>
      <c r="I68" s="27">
        <v>69.7</v>
      </c>
      <c r="J68" s="27">
        <v>69.739999999999995</v>
      </c>
      <c r="K68" s="27">
        <v>81.540000000000006</v>
      </c>
      <c r="L68" s="27">
        <v>67.64</v>
      </c>
      <c r="M68" s="27">
        <v>71.83</v>
      </c>
      <c r="N68" s="27">
        <v>66.150000000000006</v>
      </c>
      <c r="O68" s="46">
        <f t="shared" si="8"/>
        <v>66.972499999999997</v>
      </c>
      <c r="P68" s="37">
        <f t="shared" si="9"/>
        <v>803.67</v>
      </c>
    </row>
    <row r="69" spans="2:16" ht="38.1" customHeight="1" thickBot="1" x14ac:dyDescent="0.3">
      <c r="B69" s="45" t="s">
        <v>7</v>
      </c>
      <c r="C69" s="27">
        <v>71.010000000000005</v>
      </c>
      <c r="D69" s="27">
        <v>62.23</v>
      </c>
      <c r="E69" s="38">
        <v>50.92</v>
      </c>
      <c r="F69" s="27">
        <v>49.13</v>
      </c>
      <c r="G69" s="27">
        <v>47.3</v>
      </c>
      <c r="H69" s="27">
        <v>51.32</v>
      </c>
      <c r="I69" s="27">
        <v>56.78</v>
      </c>
      <c r="J69" s="27">
        <v>65.099999999999994</v>
      </c>
      <c r="K69" s="27">
        <v>72.12</v>
      </c>
      <c r="L69" s="27">
        <v>56.76</v>
      </c>
      <c r="M69" s="27">
        <v>64.900000000000006</v>
      </c>
      <c r="N69" s="27">
        <v>59.59</v>
      </c>
      <c r="O69" s="46">
        <f t="shared" si="8"/>
        <v>58.930000000000007</v>
      </c>
      <c r="P69" s="37">
        <f t="shared" si="9"/>
        <v>707.16000000000008</v>
      </c>
    </row>
    <row r="70" spans="2:16" ht="38.1" customHeight="1" thickBot="1" x14ac:dyDescent="0.3">
      <c r="B70" s="44" t="s">
        <v>8</v>
      </c>
      <c r="C70" s="18">
        <v>73.27</v>
      </c>
      <c r="D70" s="18">
        <v>66</v>
      </c>
      <c r="E70" s="18">
        <v>61.05</v>
      </c>
      <c r="F70" s="18">
        <v>63.68</v>
      </c>
      <c r="G70" s="18">
        <v>52.69</v>
      </c>
      <c r="H70" s="18">
        <v>52.2</v>
      </c>
      <c r="I70" s="18">
        <v>65.03</v>
      </c>
      <c r="J70" s="18">
        <v>65.2</v>
      </c>
      <c r="K70" s="18">
        <v>75.63</v>
      </c>
      <c r="L70" s="18">
        <v>64.62</v>
      </c>
      <c r="M70" s="18">
        <v>70.67</v>
      </c>
      <c r="N70" s="18">
        <v>70.010000000000005</v>
      </c>
      <c r="O70" s="50">
        <f t="shared" si="8"/>
        <v>65.004166666666663</v>
      </c>
      <c r="P70" s="37">
        <f t="shared" si="9"/>
        <v>780.05</v>
      </c>
    </row>
    <row r="71" spans="2:16" x14ac:dyDescent="0.25">
      <c r="B71" s="88" t="s">
        <v>9</v>
      </c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</row>
    <row r="74" spans="2:16" ht="31.5" customHeight="1" x14ac:dyDescent="0.25">
      <c r="B74" s="91" t="s">
        <v>42</v>
      </c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52"/>
    </row>
    <row r="75" spans="2:16" ht="15.75" thickBot="1" x14ac:dyDescent="0.3"/>
    <row r="76" spans="2:16" ht="15.75" x14ac:dyDescent="0.25">
      <c r="B76" s="3" t="s">
        <v>0</v>
      </c>
      <c r="C76" s="6">
        <v>44197</v>
      </c>
      <c r="D76" s="6">
        <v>44228</v>
      </c>
      <c r="E76" s="6">
        <v>44256</v>
      </c>
      <c r="F76" s="6">
        <v>44287</v>
      </c>
      <c r="G76" s="6">
        <v>44317</v>
      </c>
      <c r="H76" s="6">
        <v>44348</v>
      </c>
      <c r="I76" s="6">
        <v>44378</v>
      </c>
      <c r="J76" s="6">
        <v>44409</v>
      </c>
      <c r="K76" s="6">
        <v>44440</v>
      </c>
      <c r="L76" s="6">
        <v>44470</v>
      </c>
      <c r="M76" s="6">
        <v>44501</v>
      </c>
      <c r="N76" s="6">
        <v>44531</v>
      </c>
      <c r="O76" s="7" t="s">
        <v>1</v>
      </c>
    </row>
    <row r="77" spans="2:16" ht="26.25" thickBot="1" x14ac:dyDescent="0.3">
      <c r="B77" s="5"/>
      <c r="C77" s="14" t="s">
        <v>2</v>
      </c>
      <c r="D77" s="13" t="s">
        <v>2</v>
      </c>
      <c r="E77" s="13" t="s">
        <v>2</v>
      </c>
      <c r="F77" s="13" t="s">
        <v>2</v>
      </c>
      <c r="G77" s="13" t="s">
        <v>2</v>
      </c>
      <c r="H77" s="13" t="s">
        <v>2</v>
      </c>
      <c r="I77" s="13" t="s">
        <v>2</v>
      </c>
      <c r="J77" s="13" t="s">
        <v>2</v>
      </c>
      <c r="K77" s="13" t="s">
        <v>2</v>
      </c>
      <c r="L77" s="13" t="s">
        <v>2</v>
      </c>
      <c r="M77" s="13" t="s">
        <v>2</v>
      </c>
      <c r="N77" s="13" t="s">
        <v>2</v>
      </c>
      <c r="O77" s="8" t="s">
        <v>2</v>
      </c>
    </row>
    <row r="78" spans="2:16" ht="32.1" customHeight="1" thickBot="1" x14ac:dyDescent="0.3">
      <c r="B78" s="2" t="s">
        <v>3</v>
      </c>
      <c r="C78" s="27">
        <v>56.4</v>
      </c>
      <c r="D78" s="27">
        <v>60.75</v>
      </c>
      <c r="E78" s="38">
        <v>47.2</v>
      </c>
      <c r="F78" s="27">
        <v>47.8</v>
      </c>
      <c r="G78" s="27">
        <v>46.68</v>
      </c>
      <c r="H78" s="27">
        <v>58.2</v>
      </c>
      <c r="I78" s="27">
        <v>68.400000000000006</v>
      </c>
      <c r="J78" s="27">
        <v>66</v>
      </c>
      <c r="K78" s="27">
        <v>56.65</v>
      </c>
      <c r="L78" s="27">
        <v>63.78</v>
      </c>
      <c r="M78" s="27">
        <v>61.13</v>
      </c>
      <c r="N78" s="27">
        <v>65.13</v>
      </c>
      <c r="O78" s="9">
        <f t="shared" ref="O78:O83" si="10">P78/12</f>
        <v>58.176666666666669</v>
      </c>
      <c r="P78" s="37">
        <f t="shared" ref="P78:P83" si="11">SUM(C78:N78)</f>
        <v>698.12</v>
      </c>
    </row>
    <row r="79" spans="2:16" ht="32.1" customHeight="1" thickBot="1" x14ac:dyDescent="0.3">
      <c r="B79" s="2" t="s">
        <v>4</v>
      </c>
      <c r="C79" s="27">
        <v>56.2</v>
      </c>
      <c r="D79" s="27">
        <v>54.25</v>
      </c>
      <c r="E79" s="38">
        <v>36</v>
      </c>
      <c r="F79" s="27">
        <v>22.8</v>
      </c>
      <c r="G79" s="27">
        <v>41.55</v>
      </c>
      <c r="H79" s="27">
        <v>52.6</v>
      </c>
      <c r="I79" s="27">
        <v>67</v>
      </c>
      <c r="J79" s="27">
        <v>62</v>
      </c>
      <c r="K79" s="27">
        <v>60.48</v>
      </c>
      <c r="L79" s="27">
        <v>60.4</v>
      </c>
      <c r="M79" s="27">
        <v>62.56</v>
      </c>
      <c r="N79" s="27">
        <v>72.400000000000006</v>
      </c>
      <c r="O79" s="9">
        <f t="shared" si="10"/>
        <v>54.02000000000001</v>
      </c>
      <c r="P79" s="37">
        <f t="shared" si="11"/>
        <v>648.24000000000012</v>
      </c>
    </row>
    <row r="80" spans="2:16" ht="32.1" customHeight="1" thickBot="1" x14ac:dyDescent="0.3">
      <c r="B80" s="2" t="s">
        <v>5</v>
      </c>
      <c r="C80" s="27">
        <v>38.200000000000003</v>
      </c>
      <c r="D80" s="27">
        <v>35.25</v>
      </c>
      <c r="E80" s="38">
        <v>20.8</v>
      </c>
      <c r="F80" s="27">
        <v>15.2</v>
      </c>
      <c r="G80" s="27">
        <v>27.21</v>
      </c>
      <c r="H80" s="27">
        <v>32.200000000000003</v>
      </c>
      <c r="I80" s="27">
        <v>42.4</v>
      </c>
      <c r="J80" s="27">
        <v>45</v>
      </c>
      <c r="K80" s="27">
        <v>48.32</v>
      </c>
      <c r="L80" s="27">
        <v>57.04</v>
      </c>
      <c r="M80" s="27">
        <v>61.55</v>
      </c>
      <c r="N80" s="27">
        <v>61.39</v>
      </c>
      <c r="O80" s="9">
        <f t="shared" si="10"/>
        <v>40.380000000000003</v>
      </c>
      <c r="P80" s="37">
        <f t="shared" si="11"/>
        <v>484.56</v>
      </c>
    </row>
    <row r="81" spans="2:16" ht="32.1" customHeight="1" thickBot="1" x14ac:dyDescent="0.3">
      <c r="B81" s="2" t="s">
        <v>6</v>
      </c>
      <c r="C81" s="27">
        <v>54</v>
      </c>
      <c r="D81" s="27">
        <v>51.75</v>
      </c>
      <c r="E81" s="38">
        <v>56.6</v>
      </c>
      <c r="F81" s="27">
        <v>38.799999999999997</v>
      </c>
      <c r="G81" s="27">
        <v>29.71</v>
      </c>
      <c r="H81" s="27">
        <v>36.200000000000003</v>
      </c>
      <c r="I81" s="27">
        <v>39</v>
      </c>
      <c r="J81" s="27">
        <v>43</v>
      </c>
      <c r="K81" s="27">
        <v>61.49</v>
      </c>
      <c r="L81" s="27">
        <v>49.98</v>
      </c>
      <c r="M81" s="27">
        <v>63.31</v>
      </c>
      <c r="N81" s="27">
        <v>64.02</v>
      </c>
      <c r="O81" s="9">
        <f t="shared" si="10"/>
        <v>48.988333333333337</v>
      </c>
      <c r="P81" s="37">
        <f t="shared" si="11"/>
        <v>587.86</v>
      </c>
    </row>
    <row r="82" spans="2:16" ht="32.1" customHeight="1" thickBot="1" x14ac:dyDescent="0.3">
      <c r="B82" s="2" t="s">
        <v>7</v>
      </c>
      <c r="C82" s="27">
        <v>42.6</v>
      </c>
      <c r="D82" s="27">
        <v>34</v>
      </c>
      <c r="E82" s="38">
        <v>35.6</v>
      </c>
      <c r="F82" s="27">
        <v>32.200000000000003</v>
      </c>
      <c r="G82" s="27">
        <v>33.520000000000003</v>
      </c>
      <c r="H82" s="27">
        <v>38.200000000000003</v>
      </c>
      <c r="I82" s="27">
        <v>40.4</v>
      </c>
      <c r="J82" s="27">
        <v>42</v>
      </c>
      <c r="K82" s="27">
        <v>38.340000000000003</v>
      </c>
      <c r="L82" s="27">
        <v>55.03</v>
      </c>
      <c r="M82" s="27">
        <v>62.92</v>
      </c>
      <c r="N82" s="27">
        <v>62.11</v>
      </c>
      <c r="O82" s="9">
        <f t="shared" si="10"/>
        <v>43.076666666666661</v>
      </c>
      <c r="P82" s="37">
        <f t="shared" si="11"/>
        <v>516.91999999999996</v>
      </c>
    </row>
    <row r="83" spans="2:16" ht="33" customHeight="1" thickBot="1" x14ac:dyDescent="0.3">
      <c r="B83" s="15" t="s">
        <v>8</v>
      </c>
      <c r="C83" s="18">
        <v>49.46</v>
      </c>
      <c r="D83" s="18">
        <v>44.45</v>
      </c>
      <c r="E83" s="18">
        <v>39.11</v>
      </c>
      <c r="F83" s="18">
        <v>31.4</v>
      </c>
      <c r="G83" s="18">
        <v>37.39</v>
      </c>
      <c r="H83" s="18">
        <v>43.89</v>
      </c>
      <c r="I83" s="18">
        <v>51.44</v>
      </c>
      <c r="J83" s="18">
        <v>51.6</v>
      </c>
      <c r="K83" s="18">
        <v>50.73</v>
      </c>
      <c r="L83" s="18">
        <v>57.96</v>
      </c>
      <c r="M83" s="18">
        <v>62.29</v>
      </c>
      <c r="N83" s="18">
        <v>65.010000000000005</v>
      </c>
      <c r="O83" s="40">
        <f t="shared" si="10"/>
        <v>48.727499999999999</v>
      </c>
      <c r="P83" s="37">
        <f t="shared" si="11"/>
        <v>584.73</v>
      </c>
    </row>
    <row r="84" spans="2:16" x14ac:dyDescent="0.25">
      <c r="B84" s="88" t="s">
        <v>9</v>
      </c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</row>
    <row r="86" spans="2:16" ht="33" customHeight="1" x14ac:dyDescent="0.25">
      <c r="B86" s="86" t="s">
        <v>43</v>
      </c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53"/>
    </row>
    <row r="87" spans="2:16" ht="15.75" thickBot="1" x14ac:dyDescent="0.3"/>
    <row r="88" spans="2:16" ht="15.75" x14ac:dyDescent="0.25">
      <c r="B88" s="35" t="s">
        <v>0</v>
      </c>
      <c r="C88" s="32">
        <v>43831</v>
      </c>
      <c r="D88" s="33">
        <v>43862</v>
      </c>
      <c r="E88" s="34">
        <v>43891</v>
      </c>
      <c r="F88" s="32" t="s">
        <v>44</v>
      </c>
      <c r="G88" s="32" t="s">
        <v>45</v>
      </c>
      <c r="H88" s="33">
        <v>43983</v>
      </c>
      <c r="I88" s="32">
        <v>44013</v>
      </c>
      <c r="J88" s="33">
        <v>44044</v>
      </c>
      <c r="K88" s="32">
        <v>44075</v>
      </c>
      <c r="L88" s="33">
        <v>44105</v>
      </c>
      <c r="M88" s="32">
        <v>44136</v>
      </c>
      <c r="N88" s="33">
        <v>44166</v>
      </c>
      <c r="O88" s="25" t="s">
        <v>46</v>
      </c>
    </row>
    <row r="89" spans="2:16" ht="25.5" x14ac:dyDescent="0.25">
      <c r="B89" s="5"/>
      <c r="C89" s="31" t="s">
        <v>2</v>
      </c>
      <c r="D89" s="30" t="s">
        <v>2</v>
      </c>
      <c r="E89" s="29" t="s">
        <v>2</v>
      </c>
      <c r="F89" s="30" t="s">
        <v>2</v>
      </c>
      <c r="G89" s="30" t="s">
        <v>47</v>
      </c>
      <c r="H89" s="30" t="s">
        <v>2</v>
      </c>
      <c r="I89" s="30" t="s">
        <v>2</v>
      </c>
      <c r="J89" s="30" t="s">
        <v>2</v>
      </c>
      <c r="K89" s="30" t="s">
        <v>2</v>
      </c>
      <c r="L89" s="29" t="s">
        <v>2</v>
      </c>
      <c r="M89" s="30" t="s">
        <v>2</v>
      </c>
      <c r="N89" s="30" t="s">
        <v>2</v>
      </c>
      <c r="O89" s="26" t="s">
        <v>2</v>
      </c>
    </row>
    <row r="90" spans="2:16" ht="31.5" x14ac:dyDescent="0.25">
      <c r="B90" s="23" t="s">
        <v>3</v>
      </c>
      <c r="C90" s="24">
        <v>82</v>
      </c>
      <c r="D90" s="24">
        <v>62</v>
      </c>
      <c r="E90" s="36">
        <v>53</v>
      </c>
      <c r="F90" s="21" t="s">
        <v>48</v>
      </c>
      <c r="G90" s="21" t="s">
        <v>48</v>
      </c>
      <c r="H90" s="24">
        <v>18.8</v>
      </c>
      <c r="I90" s="24">
        <v>23.08</v>
      </c>
      <c r="J90" s="24">
        <v>34.799999999999997</v>
      </c>
      <c r="K90" s="24">
        <v>39</v>
      </c>
      <c r="L90" s="24">
        <v>50.2</v>
      </c>
      <c r="M90" s="24">
        <v>48</v>
      </c>
      <c r="N90" s="24">
        <v>51.2</v>
      </c>
      <c r="O90" s="27">
        <f t="shared" ref="O90:O95" si="12">SUM(C90:N90)/10</f>
        <v>46.207999999999998</v>
      </c>
    </row>
    <row r="91" spans="2:16" ht="32.25" thickBot="1" x14ac:dyDescent="0.3">
      <c r="B91" s="23" t="s">
        <v>4</v>
      </c>
      <c r="C91" s="24">
        <v>85</v>
      </c>
      <c r="D91" s="24">
        <v>79</v>
      </c>
      <c r="E91" s="36">
        <v>73</v>
      </c>
      <c r="F91" s="21" t="s">
        <v>48</v>
      </c>
      <c r="G91" s="21" t="s">
        <v>48</v>
      </c>
      <c r="H91" s="24">
        <v>3.6</v>
      </c>
      <c r="I91" s="24">
        <v>18.8</v>
      </c>
      <c r="J91" s="24">
        <v>28.8</v>
      </c>
      <c r="K91" s="24">
        <v>35.200000000000003</v>
      </c>
      <c r="L91" s="24">
        <v>45</v>
      </c>
      <c r="M91" s="24">
        <v>53.5</v>
      </c>
      <c r="N91" s="24">
        <v>50.4</v>
      </c>
      <c r="O91" s="27">
        <f t="shared" si="12"/>
        <v>47.23</v>
      </c>
    </row>
    <row r="92" spans="2:16" ht="32.25" thickBot="1" x14ac:dyDescent="0.3">
      <c r="B92" s="23" t="s">
        <v>5</v>
      </c>
      <c r="C92" s="24">
        <v>75</v>
      </c>
      <c r="D92" s="24">
        <v>80</v>
      </c>
      <c r="E92" s="36">
        <v>69</v>
      </c>
      <c r="F92" s="21" t="s">
        <v>48</v>
      </c>
      <c r="G92" s="21" t="s">
        <v>48</v>
      </c>
      <c r="H92" s="24">
        <v>9.4</v>
      </c>
      <c r="I92" s="24">
        <v>9.1999999999999993</v>
      </c>
      <c r="J92" s="24">
        <v>15.2</v>
      </c>
      <c r="K92" s="24">
        <v>19.2</v>
      </c>
      <c r="L92" s="24">
        <v>25.4</v>
      </c>
      <c r="M92" s="24">
        <v>48.5</v>
      </c>
      <c r="N92" s="24">
        <v>37.6</v>
      </c>
      <c r="O92" s="27">
        <f t="shared" si="12"/>
        <v>38.85</v>
      </c>
    </row>
    <row r="93" spans="2:16" ht="32.25" thickBot="1" x14ac:dyDescent="0.3">
      <c r="B93" s="23" t="s">
        <v>6</v>
      </c>
      <c r="C93" s="24">
        <v>84</v>
      </c>
      <c r="D93" s="24">
        <v>79</v>
      </c>
      <c r="E93" s="36">
        <v>62</v>
      </c>
      <c r="F93" s="21" t="s">
        <v>48</v>
      </c>
      <c r="G93" s="21" t="s">
        <v>48</v>
      </c>
      <c r="H93" s="24">
        <v>36</v>
      </c>
      <c r="I93" s="24">
        <v>23</v>
      </c>
      <c r="J93" s="24">
        <v>25.6</v>
      </c>
      <c r="K93" s="24">
        <v>39.4</v>
      </c>
      <c r="L93" s="24">
        <v>51.6</v>
      </c>
      <c r="M93" s="24">
        <v>51.5</v>
      </c>
      <c r="N93" s="24">
        <v>52.2</v>
      </c>
      <c r="O93" s="27">
        <f t="shared" si="12"/>
        <v>50.43</v>
      </c>
    </row>
    <row r="94" spans="2:16" ht="31.5" customHeight="1" thickBot="1" x14ac:dyDescent="0.3">
      <c r="B94" s="23" t="s">
        <v>7</v>
      </c>
      <c r="C94" s="24">
        <v>55</v>
      </c>
      <c r="D94" s="24">
        <v>65</v>
      </c>
      <c r="E94" s="36">
        <v>39</v>
      </c>
      <c r="F94" s="21" t="s">
        <v>48</v>
      </c>
      <c r="G94" s="21" t="s">
        <v>48</v>
      </c>
      <c r="H94" s="24">
        <v>46.2</v>
      </c>
      <c r="I94" s="24">
        <v>34.200000000000003</v>
      </c>
      <c r="J94" s="24">
        <v>22.6</v>
      </c>
      <c r="K94" s="24">
        <v>41.8</v>
      </c>
      <c r="L94" s="24">
        <v>42.2</v>
      </c>
      <c r="M94" s="24">
        <v>46.25</v>
      </c>
      <c r="N94" s="24">
        <v>42.8</v>
      </c>
      <c r="O94" s="27">
        <f t="shared" si="12"/>
        <v>43.505000000000003</v>
      </c>
    </row>
    <row r="95" spans="2:16" ht="32.25" customHeight="1" x14ac:dyDescent="0.25">
      <c r="B95" s="15" t="s">
        <v>8</v>
      </c>
      <c r="C95" s="16">
        <v>76</v>
      </c>
      <c r="D95" s="17">
        <v>73</v>
      </c>
      <c r="E95" s="17">
        <v>59</v>
      </c>
      <c r="F95" s="22" t="s">
        <v>48</v>
      </c>
      <c r="G95" s="22" t="s">
        <v>48</v>
      </c>
      <c r="H95" s="16">
        <v>22.8</v>
      </c>
      <c r="I95" s="16">
        <v>19.78</v>
      </c>
      <c r="J95" s="16">
        <v>24.48</v>
      </c>
      <c r="K95" s="16">
        <v>31.25</v>
      </c>
      <c r="L95" s="16">
        <v>37.4</v>
      </c>
      <c r="M95" s="16">
        <v>49.55</v>
      </c>
      <c r="N95" s="16">
        <v>47.36</v>
      </c>
      <c r="O95" s="28">
        <f t="shared" si="12"/>
        <v>44.061999999999998</v>
      </c>
    </row>
    <row r="96" spans="2:16" ht="36.75" customHeight="1" x14ac:dyDescent="0.25">
      <c r="B96" s="96" t="s">
        <v>49</v>
      </c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8"/>
    </row>
    <row r="97" spans="2:16" x14ac:dyDescent="0.25">
      <c r="B97" s="88" t="s">
        <v>9</v>
      </c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</row>
    <row r="99" spans="2:16" ht="42" customHeight="1" x14ac:dyDescent="0.25">
      <c r="B99" s="100" t="s">
        <v>50</v>
      </c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54"/>
    </row>
    <row r="100" spans="2:16" ht="15.75" thickBot="1" x14ac:dyDescent="0.3"/>
    <row r="101" spans="2:16" ht="15.75" x14ac:dyDescent="0.25">
      <c r="B101" s="3" t="s">
        <v>0</v>
      </c>
      <c r="C101" s="6">
        <v>43466</v>
      </c>
      <c r="D101" s="4">
        <v>43497</v>
      </c>
      <c r="E101" s="4">
        <v>43525</v>
      </c>
      <c r="F101" s="4">
        <v>43556</v>
      </c>
      <c r="G101" s="4">
        <v>43586</v>
      </c>
      <c r="H101" s="4">
        <v>43617</v>
      </c>
      <c r="I101" s="4">
        <v>43647</v>
      </c>
      <c r="J101" s="4">
        <v>43678</v>
      </c>
      <c r="K101" s="4">
        <v>43709</v>
      </c>
      <c r="L101" s="4">
        <v>43739</v>
      </c>
      <c r="M101" s="4">
        <v>43770</v>
      </c>
      <c r="N101" s="4">
        <v>43800</v>
      </c>
      <c r="O101" s="7" t="s">
        <v>1</v>
      </c>
    </row>
    <row r="102" spans="2:16" ht="32.25" customHeight="1" thickBot="1" x14ac:dyDescent="0.3">
      <c r="B102" s="5"/>
      <c r="C102" s="14" t="s">
        <v>2</v>
      </c>
      <c r="D102" s="13" t="s">
        <v>2</v>
      </c>
      <c r="E102" s="13" t="s">
        <v>2</v>
      </c>
      <c r="F102" s="13" t="s">
        <v>2</v>
      </c>
      <c r="G102" s="13" t="s">
        <v>2</v>
      </c>
      <c r="H102" s="13" t="s">
        <v>2</v>
      </c>
      <c r="I102" s="13" t="s">
        <v>2</v>
      </c>
      <c r="J102" s="13" t="s">
        <v>2</v>
      </c>
      <c r="K102" s="13" t="s">
        <v>2</v>
      </c>
      <c r="L102" s="13" t="s">
        <v>2</v>
      </c>
      <c r="M102" s="13" t="s">
        <v>2</v>
      </c>
      <c r="N102" s="13" t="s">
        <v>2</v>
      </c>
      <c r="O102" s="8" t="s">
        <v>2</v>
      </c>
    </row>
    <row r="103" spans="2:16" ht="32.25" thickBot="1" x14ac:dyDescent="0.3">
      <c r="B103" s="2" t="s">
        <v>3</v>
      </c>
      <c r="C103" s="1">
        <v>73.2</v>
      </c>
      <c r="D103" s="1">
        <v>56.2</v>
      </c>
      <c r="E103" s="19">
        <v>58.8</v>
      </c>
      <c r="F103" s="1">
        <v>47.6</v>
      </c>
      <c r="G103" s="1">
        <v>45</v>
      </c>
      <c r="H103" s="1">
        <v>43</v>
      </c>
      <c r="I103" s="1">
        <v>46.2</v>
      </c>
      <c r="J103" s="1">
        <v>39.4</v>
      </c>
      <c r="K103" s="1">
        <v>51.83</v>
      </c>
      <c r="L103" s="1">
        <v>63</v>
      </c>
      <c r="M103" s="1">
        <v>61</v>
      </c>
      <c r="N103" s="1">
        <v>66.400000000000006</v>
      </c>
      <c r="O103" s="9">
        <v>54.3</v>
      </c>
      <c r="P103" s="37"/>
    </row>
    <row r="104" spans="2:16" ht="32.25" thickBot="1" x14ac:dyDescent="0.3">
      <c r="B104" s="2" t="s">
        <v>4</v>
      </c>
      <c r="C104" s="1">
        <v>79.599999999999994</v>
      </c>
      <c r="D104" s="1">
        <v>76.400000000000006</v>
      </c>
      <c r="E104" s="19">
        <v>80</v>
      </c>
      <c r="F104" s="1">
        <v>68.599999999999994</v>
      </c>
      <c r="G104" s="1">
        <v>62.8</v>
      </c>
      <c r="H104" s="1">
        <v>66.599999999999994</v>
      </c>
      <c r="I104" s="1">
        <v>61</v>
      </c>
      <c r="J104" s="1">
        <v>75.8</v>
      </c>
      <c r="K104" s="1">
        <v>69.5</v>
      </c>
      <c r="L104" s="1">
        <v>74</v>
      </c>
      <c r="M104" s="1">
        <v>68</v>
      </c>
      <c r="N104" s="1">
        <v>77.2</v>
      </c>
      <c r="O104" s="9">
        <v>71.63</v>
      </c>
      <c r="P104" s="37"/>
    </row>
    <row r="105" spans="2:16" ht="32.25" thickBot="1" x14ac:dyDescent="0.3">
      <c r="B105" s="2" t="s">
        <v>5</v>
      </c>
      <c r="C105" s="1">
        <v>80.599999999999994</v>
      </c>
      <c r="D105" s="1">
        <v>75.2</v>
      </c>
      <c r="E105" s="19">
        <v>80.2</v>
      </c>
      <c r="F105" s="1">
        <v>63</v>
      </c>
      <c r="G105" s="1">
        <v>51.2</v>
      </c>
      <c r="H105" s="1">
        <v>54.4</v>
      </c>
      <c r="I105" s="1">
        <v>62.2</v>
      </c>
      <c r="J105" s="1">
        <v>58.2</v>
      </c>
      <c r="K105" s="1">
        <v>60.83</v>
      </c>
      <c r="L105" s="1">
        <v>74</v>
      </c>
      <c r="M105" s="1">
        <v>72</v>
      </c>
      <c r="N105" s="1">
        <v>72.2</v>
      </c>
      <c r="O105" s="9">
        <v>67</v>
      </c>
      <c r="P105" s="37"/>
    </row>
    <row r="106" spans="2:16" ht="32.25" thickBot="1" x14ac:dyDescent="0.3">
      <c r="B106" s="2" t="s">
        <v>6</v>
      </c>
      <c r="C106" s="1">
        <v>78.400000000000006</v>
      </c>
      <c r="D106" s="1">
        <v>71</v>
      </c>
      <c r="E106" s="19">
        <v>74</v>
      </c>
      <c r="F106" s="1">
        <v>55.2</v>
      </c>
      <c r="G106" s="1">
        <v>55.8</v>
      </c>
      <c r="H106" s="1">
        <v>64</v>
      </c>
      <c r="I106" s="1">
        <v>63</v>
      </c>
      <c r="J106" s="1">
        <v>56.8</v>
      </c>
      <c r="K106" s="1">
        <v>65</v>
      </c>
      <c r="L106" s="1">
        <v>72</v>
      </c>
      <c r="M106" s="1">
        <v>66</v>
      </c>
      <c r="N106" s="1">
        <v>72</v>
      </c>
      <c r="O106" s="9">
        <v>66.099999999999994</v>
      </c>
      <c r="P106" s="37"/>
    </row>
    <row r="107" spans="2:16" ht="30.75" customHeight="1" thickBot="1" x14ac:dyDescent="0.3">
      <c r="B107" s="2" t="s">
        <v>7</v>
      </c>
      <c r="C107" s="1">
        <v>56.4</v>
      </c>
      <c r="D107" s="1">
        <v>49.6</v>
      </c>
      <c r="E107" s="19">
        <v>59.2</v>
      </c>
      <c r="F107" s="1">
        <v>41.8</v>
      </c>
      <c r="G107" s="1">
        <v>47.4</v>
      </c>
      <c r="H107" s="1">
        <v>39.6</v>
      </c>
      <c r="I107" s="1">
        <v>48.4</v>
      </c>
      <c r="J107" s="1">
        <v>48</v>
      </c>
      <c r="K107" s="1">
        <v>52.17</v>
      </c>
      <c r="L107" s="1">
        <v>61</v>
      </c>
      <c r="M107" s="1">
        <v>57</v>
      </c>
      <c r="N107" s="1">
        <v>64.8</v>
      </c>
      <c r="O107" s="9">
        <v>52.11</v>
      </c>
      <c r="P107" s="37"/>
    </row>
    <row r="108" spans="2:16" ht="32.25" customHeight="1" thickBot="1" x14ac:dyDescent="0.3">
      <c r="B108" s="15" t="s">
        <v>8</v>
      </c>
      <c r="C108" s="18">
        <v>79.599999999999994</v>
      </c>
      <c r="D108" s="18">
        <v>74.2</v>
      </c>
      <c r="E108" s="18">
        <v>90.66</v>
      </c>
      <c r="F108" s="18">
        <v>55.6</v>
      </c>
      <c r="G108" s="18">
        <v>50.2</v>
      </c>
      <c r="H108" s="18">
        <v>51.4</v>
      </c>
      <c r="I108" s="18">
        <v>56.2</v>
      </c>
      <c r="J108" s="18">
        <v>53.4</v>
      </c>
      <c r="K108" s="18">
        <v>58.83</v>
      </c>
      <c r="L108" s="18">
        <v>69</v>
      </c>
      <c r="M108" s="18">
        <v>65</v>
      </c>
      <c r="N108" s="18">
        <v>70.5</v>
      </c>
      <c r="O108" s="18">
        <v>64.55</v>
      </c>
      <c r="P108" s="37"/>
    </row>
    <row r="109" spans="2:16" x14ac:dyDescent="0.25">
      <c r="B109" s="88" t="s">
        <v>9</v>
      </c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</row>
    <row r="110" spans="2:16" x14ac:dyDescent="0.25"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</row>
    <row r="111" spans="2:16" ht="34.5" customHeight="1" x14ac:dyDescent="0.25">
      <c r="B111" s="87" t="s">
        <v>51</v>
      </c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51"/>
    </row>
    <row r="112" spans="2:16" ht="15.75" thickBot="1" x14ac:dyDescent="0.3"/>
    <row r="113" spans="2:15" ht="27.75" customHeight="1" x14ac:dyDescent="0.25">
      <c r="B113" s="3" t="s">
        <v>0</v>
      </c>
      <c r="C113" s="6">
        <v>43101</v>
      </c>
      <c r="D113" s="4">
        <v>43132</v>
      </c>
      <c r="E113" s="4">
        <v>43160</v>
      </c>
      <c r="F113" s="4">
        <v>43191</v>
      </c>
      <c r="G113" s="4">
        <v>43221</v>
      </c>
      <c r="H113" s="4">
        <v>43252</v>
      </c>
      <c r="I113" s="4">
        <v>43282</v>
      </c>
      <c r="J113" s="4">
        <v>43313</v>
      </c>
      <c r="K113" s="4">
        <v>43344</v>
      </c>
      <c r="L113" s="4">
        <v>43374</v>
      </c>
      <c r="M113" s="4">
        <v>43405</v>
      </c>
      <c r="N113" s="4">
        <v>43435</v>
      </c>
      <c r="O113" s="7" t="s">
        <v>1</v>
      </c>
    </row>
    <row r="114" spans="2:15" ht="27.75" customHeight="1" thickBot="1" x14ac:dyDescent="0.3">
      <c r="B114" s="5"/>
      <c r="C114" s="14" t="s">
        <v>2</v>
      </c>
      <c r="D114" s="13" t="s">
        <v>2</v>
      </c>
      <c r="E114" s="13" t="s">
        <v>2</v>
      </c>
      <c r="F114" s="13" t="s">
        <v>2</v>
      </c>
      <c r="G114" s="13" t="s">
        <v>2</v>
      </c>
      <c r="H114" s="13" t="s">
        <v>2</v>
      </c>
      <c r="I114" s="13" t="s">
        <v>2</v>
      </c>
      <c r="J114" s="13" t="s">
        <v>2</v>
      </c>
      <c r="K114" s="13" t="s">
        <v>2</v>
      </c>
      <c r="L114" s="13" t="s">
        <v>2</v>
      </c>
      <c r="M114" s="13" t="s">
        <v>2</v>
      </c>
      <c r="N114" s="13" t="s">
        <v>2</v>
      </c>
      <c r="O114" s="8" t="s">
        <v>2</v>
      </c>
    </row>
    <row r="115" spans="2:15" ht="32.450000000000003" customHeight="1" thickBot="1" x14ac:dyDescent="0.3">
      <c r="B115" s="2" t="s">
        <v>3</v>
      </c>
      <c r="C115" s="1">
        <v>61</v>
      </c>
      <c r="D115" s="1">
        <v>49</v>
      </c>
      <c r="E115" s="1">
        <v>34</v>
      </c>
      <c r="F115" s="1">
        <v>37.67</v>
      </c>
      <c r="G115" s="1">
        <v>33.799999999999997</v>
      </c>
      <c r="H115" s="1">
        <v>33.200000000000003</v>
      </c>
      <c r="I115" s="1">
        <v>38</v>
      </c>
      <c r="J115" s="1">
        <v>47</v>
      </c>
      <c r="K115" s="1">
        <v>48.4</v>
      </c>
      <c r="L115" s="1">
        <v>45.8</v>
      </c>
      <c r="M115" s="1">
        <v>49.8</v>
      </c>
      <c r="N115" s="1">
        <v>54.5</v>
      </c>
      <c r="O115" s="9">
        <v>44.35</v>
      </c>
    </row>
    <row r="116" spans="2:15" ht="32.450000000000003" customHeight="1" thickBot="1" x14ac:dyDescent="0.3">
      <c r="B116" s="2" t="s">
        <v>4</v>
      </c>
      <c r="C116" s="1">
        <v>78</v>
      </c>
      <c r="D116" s="1">
        <v>71</v>
      </c>
      <c r="E116" s="1">
        <v>67.2</v>
      </c>
      <c r="F116" s="1">
        <v>63</v>
      </c>
      <c r="G116" s="1">
        <v>49.4</v>
      </c>
      <c r="H116" s="1">
        <v>50.8</v>
      </c>
      <c r="I116" s="1">
        <v>56</v>
      </c>
      <c r="J116" s="1">
        <v>69.2</v>
      </c>
      <c r="K116" s="1">
        <v>70</v>
      </c>
      <c r="L116" s="1">
        <v>70.599999999999994</v>
      </c>
      <c r="M116" s="1">
        <v>78.8</v>
      </c>
      <c r="N116" s="1">
        <v>79.5</v>
      </c>
      <c r="O116" s="9">
        <v>66.959999999999994</v>
      </c>
    </row>
    <row r="117" spans="2:15" ht="32.450000000000003" customHeight="1" thickBot="1" x14ac:dyDescent="0.3">
      <c r="B117" s="2" t="s">
        <v>5</v>
      </c>
      <c r="C117" s="1">
        <v>84</v>
      </c>
      <c r="D117" s="1">
        <v>74</v>
      </c>
      <c r="E117" s="1">
        <v>66</v>
      </c>
      <c r="F117" s="1">
        <v>52.5</v>
      </c>
      <c r="G117" s="1">
        <v>41.2</v>
      </c>
      <c r="H117" s="1">
        <v>42.4</v>
      </c>
      <c r="I117" s="1">
        <v>49</v>
      </c>
      <c r="J117" s="1">
        <v>56.2</v>
      </c>
      <c r="K117" s="1">
        <v>59</v>
      </c>
      <c r="L117" s="1">
        <v>66</v>
      </c>
      <c r="M117" s="1">
        <v>75</v>
      </c>
      <c r="N117" s="1">
        <v>74.33</v>
      </c>
      <c r="O117" s="9">
        <v>61.64</v>
      </c>
    </row>
    <row r="118" spans="2:15" ht="32.450000000000003" customHeight="1" thickBot="1" x14ac:dyDescent="0.3">
      <c r="B118" s="2" t="s">
        <v>6</v>
      </c>
      <c r="C118" s="1">
        <v>67</v>
      </c>
      <c r="D118" s="1">
        <v>68</v>
      </c>
      <c r="E118" s="1">
        <v>44.6</v>
      </c>
      <c r="F118" s="1">
        <v>32</v>
      </c>
      <c r="G118" s="1">
        <v>41.8</v>
      </c>
      <c r="H118" s="1">
        <v>50.2</v>
      </c>
      <c r="I118" s="1">
        <v>54</v>
      </c>
      <c r="J118" s="1">
        <v>53.6</v>
      </c>
      <c r="K118" s="1">
        <v>54.6</v>
      </c>
      <c r="L118" s="1">
        <v>61.2</v>
      </c>
      <c r="M118" s="1">
        <v>61.4</v>
      </c>
      <c r="N118" s="1">
        <v>79.33</v>
      </c>
      <c r="O118" s="9">
        <v>55.64</v>
      </c>
    </row>
    <row r="119" spans="2:15" ht="32.450000000000003" customHeight="1" thickBot="1" x14ac:dyDescent="0.3">
      <c r="B119" s="2" t="s">
        <v>7</v>
      </c>
      <c r="C119" s="1">
        <v>57</v>
      </c>
      <c r="D119" s="1">
        <v>60</v>
      </c>
      <c r="E119" s="1">
        <v>32</v>
      </c>
      <c r="F119" s="1">
        <v>24.5</v>
      </c>
      <c r="G119" s="1">
        <v>25.8</v>
      </c>
      <c r="H119" s="1">
        <v>28.6</v>
      </c>
      <c r="I119" s="1">
        <v>26</v>
      </c>
      <c r="J119" s="1">
        <v>38.799999999999997</v>
      </c>
      <c r="K119" s="1">
        <v>36.6</v>
      </c>
      <c r="L119" s="1">
        <v>38</v>
      </c>
      <c r="M119" s="1">
        <v>40.6</v>
      </c>
      <c r="N119" s="1">
        <v>52.33</v>
      </c>
      <c r="O119" s="9">
        <v>38.35</v>
      </c>
    </row>
    <row r="120" spans="2:15" ht="32.450000000000003" customHeight="1" thickBot="1" x14ac:dyDescent="0.3">
      <c r="B120" s="15" t="s">
        <v>8</v>
      </c>
      <c r="C120" s="16">
        <v>72</v>
      </c>
      <c r="D120" s="17">
        <v>66.599999999999994</v>
      </c>
      <c r="E120" s="17">
        <v>48.8</v>
      </c>
      <c r="F120" s="17">
        <v>44.5</v>
      </c>
      <c r="G120" s="16">
        <v>38</v>
      </c>
      <c r="H120" s="16">
        <v>39.4</v>
      </c>
      <c r="I120" s="16">
        <v>44</v>
      </c>
      <c r="J120" s="16">
        <v>52</v>
      </c>
      <c r="K120" s="16">
        <v>53</v>
      </c>
      <c r="L120" s="16">
        <v>56.6</v>
      </c>
      <c r="M120" s="16">
        <v>62.4</v>
      </c>
      <c r="N120" s="16">
        <v>66.67</v>
      </c>
      <c r="O120" s="10">
        <v>53.66</v>
      </c>
    </row>
    <row r="121" spans="2:15" x14ac:dyDescent="0.25">
      <c r="B121" s="99" t="s">
        <v>9</v>
      </c>
      <c r="C121" s="99"/>
      <c r="D121" s="99"/>
      <c r="E121" s="99"/>
      <c r="F121" s="99"/>
      <c r="G121" s="99"/>
      <c r="H121" s="99"/>
      <c r="I121" s="99"/>
      <c r="J121" s="99"/>
      <c r="K121" s="99"/>
      <c r="L121" s="99"/>
      <c r="M121" s="99"/>
      <c r="N121" s="99"/>
    </row>
    <row r="123" spans="2:15" x14ac:dyDescent="0.25">
      <c r="C123" s="20"/>
    </row>
  </sheetData>
  <mergeCells count="20">
    <mergeCell ref="B2:N2"/>
    <mergeCell ref="B96:O96"/>
    <mergeCell ref="B121:N121"/>
    <mergeCell ref="B99:N99"/>
    <mergeCell ref="B109:N109"/>
    <mergeCell ref="B97:N97"/>
    <mergeCell ref="B111:N111"/>
    <mergeCell ref="B18:N18"/>
    <mergeCell ref="B86:N86"/>
    <mergeCell ref="B61:N61"/>
    <mergeCell ref="B71:N71"/>
    <mergeCell ref="B63:B64"/>
    <mergeCell ref="B74:N74"/>
    <mergeCell ref="B84:N84"/>
    <mergeCell ref="B57:N57"/>
    <mergeCell ref="B33:N33"/>
    <mergeCell ref="B35:B36"/>
    <mergeCell ref="B43:N43"/>
    <mergeCell ref="B47:N47"/>
    <mergeCell ref="B49:B50"/>
  </mergeCells>
  <pageMargins left="0.25" right="0.25" top="0.75" bottom="0.75" header="0.3" footer="0.3"/>
  <pageSetup paperSize="9" scale="55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52E676D57C68B4085E9E6661115B264" ma:contentTypeVersion="12" ma:contentTypeDescription="Crie um novo documento." ma:contentTypeScope="" ma:versionID="1cd7cb7fa912571f1d25e6d95a66f803">
  <xsd:schema xmlns:xsd="http://www.w3.org/2001/XMLSchema" xmlns:xs="http://www.w3.org/2001/XMLSchema" xmlns:p="http://schemas.microsoft.com/office/2006/metadata/properties" xmlns:ns2="33a72aad-9dbe-4921-b7cc-866bd6bef448" xmlns:ns3="e40a93b1-623e-43ff-b6f0-2299ceb0393a" targetNamespace="http://schemas.microsoft.com/office/2006/metadata/properties" ma:root="true" ma:fieldsID="17d22c09ad9bc8ab3eb2703f679530b0" ns2:_="" ns3:_="">
    <xsd:import namespace="33a72aad-9dbe-4921-b7cc-866bd6bef448"/>
    <xsd:import namespace="e40a93b1-623e-43ff-b6f0-2299ceb039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a72aad-9dbe-4921-b7cc-866bd6bef4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0d481ad-c882-4a20-a0b0-e4a7aab264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0a93b1-623e-43ff-b6f0-2299ceb039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3577391-ee92-4dc1-8ff8-f2a35b3181be}" ma:internalName="TaxCatchAll" ma:showField="CatchAllData" ma:web="e40a93b1-623e-43ff-b6f0-2299ceb039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a72aad-9dbe-4921-b7cc-866bd6bef448">
      <Terms xmlns="http://schemas.microsoft.com/office/infopath/2007/PartnerControls"/>
    </lcf76f155ced4ddcb4097134ff3c332f>
    <TaxCatchAll xmlns="e40a93b1-623e-43ff-b6f0-2299ceb0393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6E6E8B-9404-42C7-BB93-9B5FCC699E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a72aad-9dbe-4921-b7cc-866bd6bef448"/>
    <ds:schemaRef ds:uri="e40a93b1-623e-43ff-b6f0-2299ceb039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F8DCF1-6A34-4F6C-8810-84BC3CF78F32}">
  <ds:schemaRefs>
    <ds:schemaRef ds:uri="http://schemas.microsoft.com/office/2006/metadata/properties"/>
    <ds:schemaRef ds:uri="http://schemas.microsoft.com/office/infopath/2007/PartnerControls"/>
    <ds:schemaRef ds:uri="33a72aad-9dbe-4921-b7cc-866bd6bef448"/>
    <ds:schemaRef ds:uri="e40a93b1-623e-43ff-b6f0-2299ceb0393a"/>
  </ds:schemaRefs>
</ds:datastoreItem>
</file>

<file path=customXml/itemProps3.xml><?xml version="1.0" encoding="utf-8"?>
<ds:datastoreItem xmlns:ds="http://schemas.openxmlformats.org/officeDocument/2006/customXml" ds:itemID="{9809E63B-2C1D-4BC3-A3E2-7CC15609B9A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Anos 2018-19-20-21-22-23-24-25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Julio Correa</dc:creator>
  <cp:keywords/>
  <dc:description/>
  <cp:lastModifiedBy>Julie Souza</cp:lastModifiedBy>
  <cp:revision/>
  <dcterms:created xsi:type="dcterms:W3CDTF">2017-09-19T19:48:45Z</dcterms:created>
  <dcterms:modified xsi:type="dcterms:W3CDTF">2026-06-15T19:28:13Z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0x010100852E676D57C68B4085E9E6661115B264</vt:lpwstr>
  </property>
  <property fmtid="{D5CDD505-2E9C-101B-9397-08002B2CF9AE}" pid="3" name="Order">
    <vt:r8>11372200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</Properties>
</file>